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rogram Bagas\SynologyDrive\iDesk-main\"/>
    </mc:Choice>
  </mc:AlternateContent>
  <xr:revisionPtr revIDLastSave="0" documentId="8_{11A4B7D8-D3B1-4A19-A114-04454D0C468C}" xr6:coauthVersionLast="47" xr6:coauthVersionMax="47" xr10:uidLastSave="{00000000-0000-0000-0000-000000000000}"/>
  <bookViews>
    <workbookView xWindow="96" yWindow="648" windowWidth="23040" windowHeight="11688" activeTab="7" xr2:uid="{00000000-000D-0000-FFFF-FFFF00000000}"/>
  </bookViews>
  <sheets>
    <sheet name="Ringkasan" sheetId="1" r:id="rId1"/>
    <sheet name="Panduan" sheetId="2" r:id="rId2"/>
    <sheet name="Dropdown" sheetId="3" r:id="rId3"/>
    <sheet name="Referensi" sheetId="4" r:id="rId4"/>
    <sheet name="UAT_ADMIN" sheetId="5" r:id="rId5"/>
    <sheet name="UAT_CANTEEN" sheetId="6" r:id="rId6"/>
    <sheet name="UAT_VENDOR" sheetId="7" r:id="rId7"/>
    <sheet name="UAT_USER" sheetId="8" r:id="rId8"/>
    <sheet name="01_Urutan_UAT" sheetId="9" r:id="rId9"/>
    <sheet name="02_Data_Siap_UAT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E16" i="1"/>
  <c r="D16" i="1"/>
  <c r="B5" i="1" s="1"/>
  <c r="E4" i="1" s="1"/>
  <c r="C16" i="1"/>
  <c r="B4" i="1" s="1"/>
  <c r="E3" i="1" s="1"/>
  <c r="B16" i="1"/>
  <c r="G16" i="1" s="1"/>
  <c r="G15" i="1"/>
  <c r="F15" i="1"/>
  <c r="E15" i="1"/>
  <c r="D15" i="1"/>
  <c r="C15" i="1"/>
  <c r="B15" i="1"/>
  <c r="F14" i="1"/>
  <c r="E14" i="1"/>
  <c r="D14" i="1"/>
  <c r="D17" i="1" s="1"/>
  <c r="C14" i="1"/>
  <c r="C17" i="1" s="1"/>
  <c r="B14" i="1"/>
  <c r="G14" i="1" s="1"/>
  <c r="G13" i="1"/>
  <c r="F13" i="1"/>
  <c r="F17" i="1" s="1"/>
  <c r="E13" i="1"/>
  <c r="E17" i="1" s="1"/>
  <c r="D13" i="1"/>
  <c r="C13" i="1"/>
  <c r="B13" i="1"/>
  <c r="B3" i="1"/>
  <c r="B9" i="1" l="1"/>
  <c r="B8" i="1"/>
  <c r="B6" i="1"/>
  <c r="E5" i="1" s="1"/>
  <c r="B17" i="1"/>
  <c r="G17" i="1" s="1"/>
  <c r="B7" i="1"/>
  <c r="E6" i="1" s="1"/>
</calcChain>
</file>

<file path=xl/sharedStrings.xml><?xml version="1.0" encoding="utf-8"?>
<sst xmlns="http://schemas.openxmlformats.org/spreadsheetml/2006/main" count="1610" uniqueCount="715">
  <si>
    <t>Catering Management System - UAT Summary</t>
  </si>
  <si>
    <t>Tanggal Template</t>
  </si>
  <si>
    <t>Status</t>
  </si>
  <si>
    <t>Jumlah</t>
  </si>
  <si>
    <t>Total Test Case</t>
  </si>
  <si>
    <t>Pass</t>
  </si>
  <si>
    <t>Fail</t>
  </si>
  <si>
    <t>Blocked</t>
  </si>
  <si>
    <t>Not Run</t>
  </si>
  <si>
    <t>N/A</t>
  </si>
  <si>
    <t>Pass Rate</t>
  </si>
  <si>
    <t>Role</t>
  </si>
  <si>
    <t>Total</t>
  </si>
  <si>
    <t>ADMIN</t>
  </si>
  <si>
    <t>CANTEEN</t>
  </si>
  <si>
    <t>VENDOR</t>
  </si>
  <si>
    <t>USER</t>
  </si>
  <si>
    <t>ALL</t>
  </si>
  <si>
    <t>Modul</t>
  </si>
  <si>
    <t>Open Defect</t>
  </si>
  <si>
    <t>PANDUAN PENGISIAN UAT - CATERING MANAGEMENT SYSTEM</t>
  </si>
  <si>
    <t>Kolom</t>
  </si>
  <si>
    <t>Cara Pengisian</t>
  </si>
  <si>
    <t>Keterangan</t>
  </si>
  <si>
    <t>Tindak Lanjut</t>
  </si>
  <si>
    <t>Test Case ID</t>
  </si>
  <si>
    <t>Nomor unik test case. Jangan diubah kecuali ada penambahan skenario.</t>
  </si>
  <si>
    <t>Hasil sesuai expected result.</t>
  </si>
  <si>
    <t>Tidak perlu defect.</t>
  </si>
  <si>
    <t>Role pelaksana UAT: ADMIN, CANTEEN, VENDOR, USER, atau SYSTEM.</t>
  </si>
  <si>
    <t>Hasil tidak sesuai expected result.</t>
  </si>
  <si>
    <t>Buat defect ID dan evidence.</t>
  </si>
  <si>
    <t>Modul/Fungsi</t>
  </si>
  <si>
    <t>Nama modul/fitur yang diuji.</t>
  </si>
  <si>
    <t>Tidak bisa diuji karena dependency/environment.</t>
  </si>
  <si>
    <t>Catat blocker dan PIC.</t>
  </si>
  <si>
    <t>Skenario UAT</t>
  </si>
  <si>
    <t>Kondisi bisnis atau fungsi yang akan divalidasi.</t>
  </si>
  <si>
    <t>Belum dijalankan.</t>
  </si>
  <si>
    <t>Masuk rencana eksekusi.</t>
  </si>
  <si>
    <t>Prasyarat</t>
  </si>
  <si>
    <t>Kondisi awal sebelum pengujian dilakukan.</t>
  </si>
  <si>
    <t>Tidak berlaku pada scope UAT saat ini.</t>
  </si>
  <si>
    <t>Berikan catatan alasan.</t>
  </si>
  <si>
    <t>Data Uji</t>
  </si>
  <si>
    <t>Data yang digunakan selama pengujian.</t>
  </si>
  <si>
    <t>Langkah Pengujian</t>
  </si>
  <si>
    <t>Langkah eksekusi test yang harus dilakukan tester.</t>
  </si>
  <si>
    <t>Expected Result</t>
  </si>
  <si>
    <t>Hasil yang seharusnya muncul jika sistem berjalan benar.</t>
  </si>
  <si>
    <t>Actual Result</t>
  </si>
  <si>
    <t>Diisi tester sesuai hasil aktual.</t>
  </si>
  <si>
    <t>Pilih dari dropdown: Not Run, Pass, Fail, Blocked, atau N/A.</t>
  </si>
  <si>
    <t>Severity</t>
  </si>
  <si>
    <t>Critical</t>
  </si>
  <si>
    <t>ADMINISTRATOR</t>
  </si>
  <si>
    <t>High</t>
  </si>
  <si>
    <t>CANTEEN ROLE</t>
  </si>
  <si>
    <t>Medium</t>
  </si>
  <si>
    <t>VENDOR ROLE</t>
  </si>
  <si>
    <t>Low</t>
  </si>
  <si>
    <t>USER ROLE</t>
  </si>
  <si>
    <t>REFERENSI BLUEPRINT - CATERING MANAGEMENT SYSTEM VER. 4</t>
  </si>
  <si>
    <t>Area Blueprint</t>
  </si>
  <si>
    <t>Ringkasan Acuan</t>
  </si>
  <si>
    <t>Role Terkait</t>
  </si>
  <si>
    <t>Catatan</t>
  </si>
  <si>
    <t>Role-Based Access Control</t>
  </si>
  <si>
    <t>Empat role utama: ADMIN, CANTEEN, VENDOR, USER dengan akses berbeda.</t>
  </si>
  <si>
    <t>Validasi menu, URL, API, dan data scope.</t>
  </si>
  <si>
    <t>Siklus Pemesanan</t>
  </si>
  <si>
    <t>User memilih tanggal, shift, kantin, menu; sistem validasi holiday, blacklist, cutoff, lalu generate QR.</t>
  </si>
  <si>
    <t>USER, SYSTEM</t>
  </si>
  <si>
    <t>Termasuk duplicate order dan cancel order.</t>
  </si>
  <si>
    <t>Check-in Station</t>
  </si>
  <si>
    <t>Staf kantin scan QR atau input NIK manual dengan validasi status, blacklist, shift, dan kantin.</t>
  </si>
  <si>
    <t>CANTEEN, SYSTEM</t>
  </si>
  <si>
    <t>Order valid berubah menjadi TAKEN.</t>
  </si>
  <si>
    <t>Cutoff Logic</t>
  </si>
  <si>
    <t>Create/cancel order diblokir jika CurrentTime melewati CutoffTime.</t>
  </si>
  <si>
    <t>USER, ADMIN, SYSTEM</t>
  </si>
  <si>
    <t>Mode per-shift dan mingguan.</t>
  </si>
  <si>
    <t>No-Show Cron</t>
  </si>
  <si>
    <t>Cron job mendeteksi ORDERED setelah shift selesai +5 menit dan mengubah status menjadi NO_SHOW.</t>
  </si>
  <si>
    <t>SYSTEM, ADMIN</t>
  </si>
  <si>
    <t>Berjalan tiap jam menit ke-05.</t>
  </si>
  <si>
    <t>Auto Blacklist</t>
  </si>
  <si>
    <t>Strike bertambah saat NO_SHOW dan blacklist otomatis aktif saat mencapai threshold.</t>
  </si>
  <si>
    <t>SYSTEM, ADMIN, USER</t>
  </si>
  <si>
    <t>Default threshold 3 dan durasi blacklist default 3 hari.</t>
  </si>
  <si>
    <t>Menu, Vendor, Jadwal</t>
  </si>
  <si>
    <t>Admin mengelola vendor, menu, gambar/kategori, schedule per hari/shift.</t>
  </si>
  <si>
    <t>ADMIN, VENDOR, USER</t>
  </si>
  <si>
    <t>Vendor melihat rekap porsi dan menu preview.</t>
  </si>
  <si>
    <t>Report &amp; Export</t>
  </si>
  <si>
    <t>Admin dapat query transaksi, dashboard tren, dan export Excel.</t>
  </si>
  <si>
    <t>ADMIN, VENDOR</t>
  </si>
  <si>
    <t>Vendor fokus rekap porsi.</t>
  </si>
  <si>
    <t>Audit Trail</t>
  </si>
  <si>
    <t>Aktivitas penting dicatat sebagai audit log.</t>
  </si>
  <si>
    <t>ALL, SYSTEM</t>
  </si>
  <si>
    <t>Login, order, cancel, check-in, admin action.</t>
  </si>
  <si>
    <t>Infrastructure</t>
  </si>
  <si>
    <t>Docker, PM2 Cluster, Redis, PostgreSQL, Nginx/HTTPS, NTP, backup otomatis.</t>
  </si>
  <si>
    <t>Termasuk monitoring dan restore.</t>
  </si>
  <si>
    <t>Security</t>
  </si>
  <si>
    <t>JWT, RBAC, rate limiting, input validation, blacklist middleware, error handler.</t>
  </si>
  <si>
    <t>Termasuk negative test.</t>
  </si>
  <si>
    <t>Complaint/Announcement/Agreement</t>
  </si>
  <si>
    <t>Sistem mendukung complaint, pengumuman, terms/agreement.</t>
  </si>
  <si>
    <t>USER, ADMIN</t>
  </si>
  <si>
    <t>Validasi konten dan visibility.</t>
  </si>
  <si>
    <t>Kapasitas Sistem</t>
  </si>
  <si>
    <t>Mendukung &gt;2.500 karyawan aktif dan 50 koneksi konkuren PostgreSQL.</t>
  </si>
  <si>
    <t>SYSTEM</t>
  </si>
  <si>
    <t>Uji performa disesuaikan dengan environment UAT.</t>
  </si>
  <si>
    <t>UAT_ADMIN - USER ACCEPTANCE TEST</t>
  </si>
  <si>
    <t>Tester</t>
  </si>
  <si>
    <t>Tanggal Test</t>
  </si>
  <si>
    <t>Evidence/Link</t>
  </si>
  <si>
    <t>Defect ID</t>
  </si>
  <si>
    <t>ADM-001</t>
  </si>
  <si>
    <t>Login &amp; RBAC</t>
  </si>
  <si>
    <t>Admin login dan memiliki full access menu administrasi.</t>
  </si>
  <si>
    <t>Akun ADMIN aktif.</t>
  </si>
  <si>
    <t>Credential admin valid</t>
  </si>
  <si>
    <t>1. Login sebagai ADMIN
2. Periksa menu dashboard</t>
  </si>
  <si>
    <t>Dashboard ADMIN tampil dengan akses user management, shift config, blacklist, cost analysis, audit log, backup/restore, email, NTP, branding, announcements, vendor/menu, server monitoring.</t>
  </si>
  <si>
    <t>ADM-002</t>
  </si>
  <si>
    <t>Dashboard</t>
  </si>
  <si>
    <t>Admin melihat statistik real-time transaksi.</t>
  </si>
  <si>
    <t>Data order tersedia.</t>
  </si>
  <si>
    <t>Tanggal/periode aktif</t>
  </si>
  <si>
    <t>1. Buka dashboard admin
2. Amati transaksi</t>
  </si>
  <si>
    <t>total order, taken, no-show, cancel, tren/summary tampil dan sesuai data.</t>
  </si>
  <si>
    <t>ADM-003</t>
  </si>
  <si>
    <t>User Management</t>
  </si>
  <si>
    <t>Admin dapat menambah user baru.</t>
  </si>
  <si>
    <t>Admin login.</t>
  </si>
  <si>
    <t>Data user baru lengkap</t>
  </si>
  <si>
    <t>1. Buka User Management
2. Klik Add User
3. Isi data
4. Simpan</t>
  </si>
  <si>
    <t>User baru tersimpan dengan role yang dipilih dan dapat digunakan login sesuai status aktif.</t>
  </si>
  <si>
    <t>ADM-004</t>
  </si>
  <si>
    <t>Admin dapat mengubah data user.</t>
  </si>
  <si>
    <t>User sudah tersedia.</t>
  </si>
  <si>
    <t>Perubahan departemen/status/role</t>
  </si>
  <si>
    <t>1. Buka detail user
2. Edit data
3. Simpan</t>
  </si>
  <si>
    <t>Perubahan tersimpan dan audit log update user tercatat.</t>
  </si>
  <si>
    <t>ADM-005</t>
  </si>
  <si>
    <t>Admin dapat menonaktifkan user.</t>
  </si>
  <si>
    <t>User aktif tersedia.</t>
  </si>
  <si>
    <t>Status inactive</t>
  </si>
  <si>
    <t>1. Pilih user
2. Set inactive
3. Simpan
4. Coba login user</t>
  </si>
  <si>
    <t>User tidak dapat login/menggunakan sistem sesuai aturan inactive.</t>
  </si>
  <si>
    <t>ADM-006</t>
  </si>
  <si>
    <t>RBAC Management</t>
  </si>
  <si>
    <t>Admin dapat menetapkan role USER/CANTEEN/VENDOR/ADMIN.</t>
  </si>
  <si>
    <t>User tersedia.</t>
  </si>
  <si>
    <t>Role baru</t>
  </si>
  <si>
    <t>1. Edit role user
2. Simpan
3. Login sebagai user tersebut</t>
  </si>
  <si>
    <t>Akses menu berubah sesuai role baru.</t>
  </si>
  <si>
    <t>ADM-007</t>
  </si>
  <si>
    <t>Shift Management</t>
  </si>
  <si>
    <t>Admin dapat membuat/mengubah shift.</t>
  </si>
  <si>
    <t>Nama shift, jam mulai, jam selesai</t>
  </si>
  <si>
    <t>1. Buka Shift Config
2. Tambah/edit shift
3. Simpan</t>
  </si>
  <si>
    <t>Shift tersimpan dan dapat digunakan pada jadwal/order.</t>
  </si>
  <si>
    <t>ADM-008</t>
  </si>
  <si>
    <t>Cutoff Settings</t>
  </si>
  <si>
    <t>Admin dapat mengatur cutoff per-shift.</t>
  </si>
  <si>
    <t>Shift tersedia.</t>
  </si>
  <si>
    <t>cutoffDays/cutoffHours</t>
  </si>
  <si>
    <t>1. Buka Settings Cutoff
2. Pilih mode per-shift
3. Simpan konfigurasi</t>
  </si>
  <si>
    <t>Sistem memakai cutoff per-shift untuk create/cancel order.</t>
  </si>
  <si>
    <t>ADM-009</t>
  </si>
  <si>
    <t>Admin dapat mengatur cutoff mingguan.</t>
  </si>
  <si>
    <t>weeklyCutoffDay/hour/minute</t>
  </si>
  <si>
    <t>1. Buka Settings Cutoff
2. Pilih mode mingguan
3. Simpan</t>
  </si>
  <si>
    <t>Sistem memakai cutoff mingguan untuk pemesanan minggu depan.</t>
  </si>
  <si>
    <t>ADM-010</t>
  </si>
  <si>
    <t>Holiday Management</t>
  </si>
  <si>
    <t>Admin dapat menambah tanggal libur.</t>
  </si>
  <si>
    <t>Tanggal libur dan keterangan</t>
  </si>
  <si>
    <t>1. Buka Holiday
2. Tambah tanggal libur
3. Simpan</t>
  </si>
  <si>
    <t>Tanggal libur tersimpan dan user tidak bisa order pada tanggal tersebut.</t>
  </si>
  <si>
    <t>ADM-011</t>
  </si>
  <si>
    <t>Canteen Management</t>
  </si>
  <si>
    <t>Admin dapat menambah/mengubah data kantin.</t>
  </si>
  <si>
    <t>Nama kantin, lokasi, status</t>
  </si>
  <si>
    <t>1. Buka Canteen Management
2. Tambah/edit kantin
3. Simpan</t>
  </si>
  <si>
    <t>Kantin tersimpan dan dapat dipilih saat order/check-in sesuai status aktif.</t>
  </si>
  <si>
    <t>ADM-012</t>
  </si>
  <si>
    <t>Vendor Management</t>
  </si>
  <si>
    <t>Admin dapat menambah/mengubah vendor.</t>
  </si>
  <si>
    <t>Nama vendor, PIC, status</t>
  </si>
  <si>
    <t>1. Buka Vendor Management
2. Tambah/edit vendor
3. Simpan</t>
  </si>
  <si>
    <t>Vendor tersimpan dan dapat dipakai dalam menu/jadwal serta dashboard vendor.</t>
  </si>
  <si>
    <t>ADM-013</t>
  </si>
  <si>
    <t>Menu Management</t>
  </si>
  <si>
    <t>Admin dapat menambah item menu lengkap dengan kategori/gambar.</t>
  </si>
  <si>
    <t>Vendor tersedia.</t>
  </si>
  <si>
    <t>Nama menu, kategori, gambar/deskripsi</t>
  </si>
  <si>
    <t>1. Buka Menu Management
2. Tambah menu
3. Upload gambar bila ada
4. Simpan</t>
  </si>
  <si>
    <t>Menu tersimpan dan muncul di preview/jadwal sesuai status aktif.</t>
  </si>
  <si>
    <t>ADM-014</t>
  </si>
  <si>
    <t>Menu Schedule</t>
  </si>
  <si>
    <t>Admin dapat membuat jadwal menu mingguan per hari/shift/kantin/vendor.</t>
  </si>
  <si>
    <t>Shift, kantin, vendor, menu tersedia.</t>
  </si>
  <si>
    <t>Tanggal/hari, shift, menu</t>
  </si>
  <si>
    <t>1. Buka Schedule
2. Pilih hari/shift/kantin
3. Assign menu
4. Simpan</t>
  </si>
  <si>
    <t>Jadwal tersimpan dan tersedia untuk user order dan vendor recap.</t>
  </si>
  <si>
    <t>ADM-015</t>
  </si>
  <si>
    <t>Blacklist Management</t>
  </si>
  <si>
    <t>Admin dapat melihat daftar blacklist aktif.</t>
  </si>
  <si>
    <t>Ada user blacklist.</t>
  </si>
  <si>
    <t>Filter blacklist aktif</t>
  </si>
  <si>
    <t>1. Buka Blacklist Management</t>
  </si>
  <si>
    <t>Daftar user blacklist aktif tampil dengan reason, periode, dan jumlah strike.</t>
  </si>
  <si>
    <t>ADM-016</t>
  </si>
  <si>
    <t>Admin dapat unblock user dengan input reduceBy.</t>
  </si>
  <si>
    <t>User blacklist aktif.</t>
  </si>
  <si>
    <t>reduceBy valid</t>
  </si>
  <si>
    <t>1. Pilih user blacklist
2. Klik Unblock
3. Isi reduceBy
4. Simpan</t>
  </si>
  <si>
    <t>User keluar dari blacklist dan noShowCount berkurang sesuai input; audit log tercatat.</t>
  </si>
  <si>
    <t>ADM-017</t>
  </si>
  <si>
    <t>Admin dapat reset strike user.</t>
  </si>
  <si>
    <t>User memiliki strike.</t>
  </si>
  <si>
    <t>Reset strike</t>
  </si>
  <si>
    <t>1. Pilih user
2. Klik Reset Strike
3. Konfirmasi</t>
  </si>
  <si>
    <t>Strike user menjadi 0 atau sesuai aturan reset dan user tidak terblacklist jika di bawah threshold.</t>
  </si>
  <si>
    <t>ADM-018</t>
  </si>
  <si>
    <t>Announcements</t>
  </si>
  <si>
    <t>Admin dapat membuat pengumuman aktif.</t>
  </si>
  <si>
    <t>Judul, isi, periode aktif</t>
  </si>
  <si>
    <t>1. Buka Announcements
2. Tambah pengumuman
3. Publish</t>
  </si>
  <si>
    <t>Pengumuman tampil di sisi user sesuai periode aktif.</t>
  </si>
  <si>
    <t>ADM-019</t>
  </si>
  <si>
    <t>Agreement/Terms</t>
  </si>
  <si>
    <t>Admin dapat membuat/mengubah terms &amp; agreement.</t>
  </si>
  <si>
    <t>Isi agreement, status wajib</t>
  </si>
  <si>
    <t>1. Buka Terms/Agreement
2. Update versi terms
3. Simpan</t>
  </si>
  <si>
    <t>Versi terms tersimpan; user diarahkan untuk agreement jika diwajibkan.</t>
  </si>
  <si>
    <t>ADM-020</t>
  </si>
  <si>
    <t>Complaint Management</t>
  </si>
  <si>
    <t>Admin dapat melihat dan menindaklanjuti complaint user.</t>
  </si>
  <si>
    <t>Ada complaint dari user.</t>
  </si>
  <si>
    <t>Status follow-up</t>
  </si>
  <si>
    <t>1. Buka Complaint Management
2. Pilih complaint
3. Update status/respon</t>
  </si>
  <si>
    <t>Status complaint berubah dan riwayat tindak lanjut tersimpan.</t>
  </si>
  <si>
    <t>ADM-021</t>
  </si>
  <si>
    <t>Audit Log</t>
  </si>
  <si>
    <t>Admin dapat melihat audit log aktivitas sistem.</t>
  </si>
  <si>
    <t>Aktivitas login/order/check-in tersedia.</t>
  </si>
  <si>
    <t>Filter user/aksi/tanggal</t>
  </si>
  <si>
    <t>1. Buka Audit Log
2. Filter aksi/tanggal</t>
  </si>
  <si>
    <t>Audit log tampil sesuai filter dan tidak dapat diedit oleh user biasa.</t>
  </si>
  <si>
    <t>ADM-022</t>
  </si>
  <si>
    <t>Query Report</t>
  </si>
  <si>
    <t>Admin dapat query data transaksi dengan filter lengkap.</t>
  </si>
  <si>
    <t>Data transaksi tersedia.</t>
  </si>
  <si>
    <t>Tanggal, status, departemen, shift</t>
  </si>
  <si>
    <t>1. Buka Report/Query Order
2. Isi filter
3. Search</t>
  </si>
  <si>
    <t>Data transaksi tampil sesuai filter dengan informasi order lengkap.</t>
  </si>
  <si>
    <t>ADM-023</t>
  </si>
  <si>
    <t>Export Excel</t>
  </si>
  <si>
    <t>Admin dapat export data transaksi ke Excel.</t>
  </si>
  <si>
    <t>Hasil query transaksi tersedia.</t>
  </si>
  <si>
    <t>Filter transaksi</t>
  </si>
  <si>
    <t>1. Jalankan query
2. Klik Export Excel</t>
  </si>
  <si>
    <t>File Excel berhasil diunduh dan isinya sesuai hasil query/filter.</t>
  </si>
  <si>
    <t>ADM-024</t>
  </si>
  <si>
    <t>Cost Analysis</t>
  </si>
  <si>
    <t>Admin dapat melihat analisis biaya berdasarkan jumlah porsi/transaksi.</t>
  </si>
  <si>
    <t>Data order dan cost tersedia.</t>
  </si>
  <si>
    <t>Periode dan cost per porsi</t>
  </si>
  <si>
    <t>1. Buka Cost Analysis
2. Pilih periode</t>
  </si>
  <si>
    <t>Total porsi dan estimasi/aktual biaya tampil sesuai rumus dan data transaksi.</t>
  </si>
  <si>
    <t>ADM-025</t>
  </si>
  <si>
    <t>Email Settings</t>
  </si>
  <si>
    <t>Admin dapat mengatur konfigurasi email/SMTP.</t>
  </si>
  <si>
    <t>Akses admin.</t>
  </si>
  <si>
    <t>SMTP host, port, sender</t>
  </si>
  <si>
    <t>1. Buka Email Settings
2. Isi konfigurasi
3. Simpan/test email</t>
  </si>
  <si>
    <t>Konfigurasi tersimpan dan test email berjalan sesuai desain.</t>
  </si>
  <si>
    <t>ADM-026</t>
  </si>
  <si>
    <t>NTP Settings</t>
  </si>
  <si>
    <t>Admin dapat melihat/mengatur sinkronisasi waktu NTP.</t>
  </si>
  <si>
    <t>NTP service tersedia.</t>
  </si>
  <si>
    <t>Server NTP/timezone/sync interval</t>
  </si>
  <si>
    <t>1. Buka Time/NTP Settings
2. Trigger sync manual</t>
  </si>
  <si>
    <t>Status sync dan waktu server tampil akurat; hasil sync tercatat.</t>
  </si>
  <si>
    <t>ADM-027</t>
  </si>
  <si>
    <t>Branding</t>
  </si>
  <si>
    <t>Admin dapat mengubah branding aplikasi.</t>
  </si>
  <si>
    <t>Logo/nama aplikasi/theme</t>
  </si>
  <si>
    <t>1. Buka Branding
2. Ubah logo/nama/theme
3. Simpan</t>
  </si>
  <si>
    <t>Branding tersimpan dan tampil di aplikasi sesuai konfigurasi.</t>
  </si>
  <si>
    <t>ADM-028</t>
  </si>
  <si>
    <t>Server Monitoring</t>
  </si>
  <si>
    <t>Admin dapat memantau status server/uptime.</t>
  </si>
  <si>
    <t>-</t>
  </si>
  <si>
    <t>1. Buka Server Monitoring</t>
  </si>
  <si>
    <t>Status server, uptime/history tampil sesuai data monitoring.</t>
  </si>
  <si>
    <t>ADM-029</t>
  </si>
  <si>
    <t>Version Info</t>
  </si>
  <si>
    <t>Admin dapat melihat informasi versi aplikasi.</t>
  </si>
  <si>
    <t>1. Buka Version/About Admin</t>
  </si>
  <si>
    <t>Versi aplikasi/backend/frontend tampil sesuai release.</t>
  </si>
  <si>
    <t>UAT_CANTEEN - USER ACCEPTANCE TEST</t>
  </si>
  <si>
    <t>CAN-001</t>
  </si>
  <si>
    <t>Staf kantin login dan hanya melihat menu check-in station/statistik harian.</t>
  </si>
  <si>
    <t>Akun CANTEEN aktif.</t>
  </si>
  <si>
    <t>Credential CANTEEN valid</t>
  </si>
  <si>
    <t>1. Login sebagai CANTEEN
2. Periksa menu yang tersedia</t>
  </si>
  <si>
    <t>Dashboard CANTEEN tampil hanya dengan fitur check-in dan statistik harian; fitur admin/vendor/user tidak tampil.</t>
  </si>
  <si>
    <t>CAN-002</t>
  </si>
  <si>
    <t>QR Scanner</t>
  </si>
  <si>
    <t>Staf kantin dapat scan QR NIK valid.</t>
  </si>
  <si>
    <t>Order status ORDERED, user tidak blacklist, shift &amp; kantin sesuai.</t>
  </si>
  <si>
    <t>QR NIK valid</t>
  </si>
  <si>
    <t>1. Buka Check-in Station
2. Scan QR</t>
  </si>
  <si>
    <t>Order tervalidasi dan status berubah menjadi TAKEN; audit log CHECK_IN tercatat.</t>
  </si>
  <si>
    <t>CAN-003</t>
  </si>
  <si>
    <t>Manual NIK Check-in</t>
  </si>
  <si>
    <t>Staf kantin dapat melakukan input manual NIK jika QR tidak dapat discan.</t>
  </si>
  <si>
    <t>Order ORDERED tersedia untuk NIK tersebut.</t>
  </si>
  <si>
    <t>NIK user valid</t>
  </si>
  <si>
    <t>1. Buka input manual
2. Masukkan NIK
3. Pilih order valid
4. Konfirmasi check-in</t>
  </si>
  <si>
    <t>Order berhasil diambil dan status berubah menjadi TAKEN.</t>
  </si>
  <si>
    <t>CAN-004</t>
  </si>
  <si>
    <t>Validation</t>
  </si>
  <si>
    <t>Check-in ditolak jika order tidak ditemukan.</t>
  </si>
  <si>
    <t>Tidak ada order untuk QR/NIK.</t>
  </si>
  <si>
    <t>QR invalid/NIK tanpa order</t>
  </si>
  <si>
    <t>1. Scan QR invalid atau input NIK tanpa order</t>
  </si>
  <si>
    <t>Sistem menolak dengan pesan order tidak ditemukan.</t>
  </si>
  <si>
    <t>CAN-005</t>
  </si>
  <si>
    <t>Check-in ditolak jika status order bukan ORDERED.</t>
  </si>
  <si>
    <t>Order status CANCELLED/TAKEN/NO_SHOW.</t>
  </si>
  <si>
    <t>QR order non-ORDERED</t>
  </si>
  <si>
    <t>1. Scan QR order non-ORDERED</t>
  </si>
  <si>
    <t>Sistem menolak karena pesanan sudah diambil/dibatalkan/tidak valid.</t>
  </si>
  <si>
    <t>CAN-006</t>
  </si>
  <si>
    <t>Check-in ditolak jika user sedang blacklist.</t>
  </si>
  <si>
    <t>User terblacklist aktif.</t>
  </si>
  <si>
    <t>QR/NIK user blacklist</t>
  </si>
  <si>
    <t>1. Scan QR atau input NIK user blacklist</t>
  </si>
  <si>
    <t>Sistem memblokir check-in dan menampilkan status user blacklist.</t>
  </si>
  <si>
    <t>CAN-007</t>
  </si>
  <si>
    <t>Check-in ditolak jika shift tidak sesuai.</t>
  </si>
  <si>
    <t>Order untuk shift berbeda dari shift berjalan.</t>
  </si>
  <si>
    <t>QR shift lain</t>
  </si>
  <si>
    <t>1. Scan QR order shift lain</t>
  </si>
  <si>
    <t>Sistem menolak dengan pesan shift tidak sesuai.</t>
  </si>
  <si>
    <t>CAN-008</t>
  </si>
  <si>
    <t>Check-in ditolak jika kantin tidak sesuai.</t>
  </si>
  <si>
    <t>Order dibuat untuk kantin berbeda.</t>
  </si>
  <si>
    <t>QR order kantin lain</t>
  </si>
  <si>
    <t>1. Login kantin A
2. Scan QR order kantin B</t>
  </si>
  <si>
    <t>Sistem menolak dengan pesan kantin tidak sesuai.</t>
  </si>
  <si>
    <t>UAT_VENDOR - USER ACCEPTANCE TEST</t>
  </si>
  <si>
    <t>VEN-001</t>
  </si>
  <si>
    <t>Vendor login dan hanya melihat dashboard vendor.</t>
  </si>
  <si>
    <t>Akun VENDOR aktif.</t>
  </si>
  <si>
    <t>Credential vendor valid</t>
  </si>
  <si>
    <t>1. Login sebagai VENDOR
2. Periksa menu</t>
  </si>
  <si>
    <t>Dashboard vendor tampil; akses admin/canteen/user ditolak.</t>
  </si>
  <si>
    <t>VEN-002</t>
  </si>
  <si>
    <t>Dashboard Rekap Porsi</t>
  </si>
  <si>
    <t>Vendor dapat melihat rekap jumlah porsi per tanggal/shift/kantin.</t>
  </si>
  <si>
    <t>Ada order aktif pada periode dipilih.</t>
  </si>
  <si>
    <t>Filter tanggal/shift/kantin</t>
  </si>
  <si>
    <t>1. Buka Dashboard Vendor
2. Pilih filter periode</t>
  </si>
  <si>
    <t>Rekap porsi tampil sesuai jumlah order valid, tidak menghitung cancelled jika aturan mengecualikan cancelled.</t>
  </si>
  <si>
    <t>VEN-003</t>
  </si>
  <si>
    <t>Pickup Stats</t>
  </si>
  <si>
    <t>Vendor dapat melihat statistik pickup/check-in.</t>
  </si>
  <si>
    <t>Ada order TAKEN dan ORDERED.</t>
  </si>
  <si>
    <t>Tanggal/shift tertentu</t>
  </si>
  <si>
    <t>1. Buka Pickup Stats</t>
  </si>
  <si>
    <t>Jumlah porsi diambil, belum diambil, dan rasio pickup tampil sesuai data.</t>
  </si>
  <si>
    <t>VEN-004</t>
  </si>
  <si>
    <t>Filter</t>
  </si>
  <si>
    <t>Filter dashboard vendor bekerja sesuai periode.</t>
  </si>
  <si>
    <t>Data tersedia multi tanggal/shift.</t>
  </si>
  <si>
    <t>Range tanggal dan shift</t>
  </si>
  <si>
    <t>1. Gunakan filter tanggal/shift
2. Bandingkan hasil</t>
  </si>
  <si>
    <t>Data berubah sesuai filter yang dipilih.</t>
  </si>
  <si>
    <t>VEN-005</t>
  </si>
  <si>
    <t>Export/Download</t>
  </si>
  <si>
    <t>Vendor dapat mengekspor rekap porsi jika fitur tersedia untuk vendor.</t>
  </si>
  <si>
    <t>Hak akses export vendor aktif.</t>
  </si>
  <si>
    <t>Filter rekap porsi</t>
  </si>
  <si>
    <t>1. Pilih filter
2. Klik Export</t>
  </si>
  <si>
    <t>File export berhasil diunduh dan isinya sesuai data yang tampil.</t>
  </si>
  <si>
    <t>VEN-006</t>
  </si>
  <si>
    <t>Realtime/Refresh</t>
  </si>
  <si>
    <t>Dashboard vendor memperbarui data setelah ada order baru/cancel.</t>
  </si>
  <si>
    <t>SSE/refresh aktif, order baru dibuat.</t>
  </si>
  <si>
    <t>Order baru atau cancel</t>
  </si>
  <si>
    <t>1. Buka dashboard vendor
2. Buat/cancel order dari user lain
3. Amati perubahan</t>
  </si>
  <si>
    <t>Rekap terupdate secara real-time atau setelah refresh sesuai desain sistem.</t>
  </si>
  <si>
    <t>VEN-007</t>
  </si>
  <si>
    <t>Access Negative</t>
  </si>
  <si>
    <t>Vendor tidak dapat mengubah menu/jadwal jika tidak diberi akses admin.</t>
  </si>
  <si>
    <t>Vendor login.</t>
  </si>
  <si>
    <t>URL/API edit menu</t>
  </si>
  <si>
    <t>1. Coba akses endpoint/halaman edit menu</t>
  </si>
  <si>
    <t>Sistem menolak dengan status akses tidak berwenang.</t>
  </si>
  <si>
    <t>UAT_USER - USER ACCEPTANCE TEST</t>
  </si>
  <si>
    <t>USE-001</t>
  </si>
  <si>
    <t>Login &amp; Authentication</t>
  </si>
  <si>
    <t>User berhasil login menggunakan NIK/email dan password valid.</t>
  </si>
  <si>
    <t>Akun USER aktif dan tidak terkunci.</t>
  </si>
  <si>
    <t>NIK/email valid, password valid</t>
  </si>
  <si>
    <t>1. Buka halaman login
2. Input NIK/email dan password
3. Klik Login</t>
  </si>
  <si>
    <t>Login berhasil, token/session terbentuk, audit log LOGIN tercatat, user diarahkan ke Dashboard USER.</t>
  </si>
  <si>
    <t>USE-002</t>
  </si>
  <si>
    <t>User gagal login jika kredensial salah.</t>
  </si>
  <si>
    <t>Akun USER tersedia.</t>
  </si>
  <si>
    <t>NIK/email valid, password salah</t>
  </si>
  <si>
    <t>1. Input kredensial salah
2. Klik Login</t>
  </si>
  <si>
    <t>Sistem menolak login dan menampilkan pesan error kredensial salah tanpa membuka dashboard.</t>
  </si>
  <si>
    <t>USE-003</t>
  </si>
  <si>
    <t>RBAC</t>
  </si>
  <si>
    <t>User tidak dapat mengakses menu/URL ADMIN, CANTEEN, atau VENDOR.</t>
  </si>
  <si>
    <t>User sudah login.</t>
  </si>
  <si>
    <t>URL/menu role lain</t>
  </si>
  <si>
    <t>1. Login sebagai USER
2. Akses URL admin/canteen/vendor secara langsung</t>
  </si>
  <si>
    <t>Akses ditolak atau redirect sesuai desain; tidak ada data role lain yang tampil.</t>
  </si>
  <si>
    <t>USE-004</t>
  </si>
  <si>
    <t>Order Meal</t>
  </si>
  <si>
    <t>User dapat melihat kalender/tanggal pemesanan yang tersedia.</t>
  </si>
  <si>
    <t>User login, jadwal menu aktif, user tidak blacklist.</t>
  </si>
  <si>
    <t>Tanggal kerja tersedia</t>
  </si>
  <si>
    <t>1. Buka Order Meal
2. Pilih bulan/tanggal</t>
  </si>
  <si>
    <t>Kalender tampil, tanggal tersedia dapat dipilih, tanggal tidak tersedia/libur tidak dapat dipesan.</t>
  </si>
  <si>
    <t>USE-005</t>
  </si>
  <si>
    <t>User dapat memilih shift, kantin, dan menu lalu membuat order.</t>
  </si>
  <si>
    <t>Cutoff belum lewat, menu dan kantin aktif.</t>
  </si>
  <si>
    <t>Tanggal, shift, kantin, menu valid</t>
  </si>
  <si>
    <t>1. Buka Order Meal
2. Pilih tanggal
3. Pilih shift
4. Pilih kantin
5. Pilih menu
6. Klik Submit/Order</t>
  </si>
  <si>
    <t>Order berhasil dibuat dengan status ORDERED dan muncul nomor/order detail.</t>
  </si>
  <si>
    <t>USE-006</t>
  </si>
  <si>
    <t>QR Code otomatis terbentuk setelah order valid.</t>
  </si>
  <si>
    <t>Order berhasil dibuat.</t>
  </si>
  <si>
    <t>Order status ORDERED</t>
  </si>
  <si>
    <t>1. Buat order valid
2. Buka detail order/QR</t>
  </si>
  <si>
    <t>QR Code tampil dan merepresentasikan order yang valid.</t>
  </si>
  <si>
    <t>USE-007</t>
  </si>
  <si>
    <t>User tidak dapat membuat order pada tanggal libur.</t>
  </si>
  <si>
    <t>Holiday sudah dikonfigurasi admin.</t>
  </si>
  <si>
    <t>Tanggal libur</t>
  </si>
  <si>
    <t>1. Buka Order Meal
2. Pilih tanggal libur
3. Coba submit order</t>
  </si>
  <si>
    <t>Sistem menolak order dan menampilkan informasi tanggal libur/tidak tersedia.</t>
  </si>
  <si>
    <t>USE-008</t>
  </si>
  <si>
    <t>User tidak dapat membuat order pada tanggal tanpa jadwal menu.</t>
  </si>
  <si>
    <t>Tidak ada schedule menu untuk tanggal/shift tertentu.</t>
  </si>
  <si>
    <t>Tanggal/shift tanpa schedule</t>
  </si>
  <si>
    <t>1. Pilih tanggal/shift tanpa jadwal
2. Coba submit</t>
  </si>
  <si>
    <t>Sistem menolak dengan pesan jadwal/menu tidak tersedia.</t>
  </si>
  <si>
    <t>USE-009</t>
  </si>
  <si>
    <t>User tidak dapat membuat order setelah waktu cutoff.</t>
  </si>
  <si>
    <t>Waktu server melewati cutoff, user tidak blacklist.</t>
  </si>
  <si>
    <t>Tanggal/shift melewati cutoff</t>
  </si>
  <si>
    <t>1. Pilih tanggal/shift yang sudah melewati cutoff
2. Klik Submit</t>
  </si>
  <si>
    <t>Sistem memblokir order dan menampilkan pesan melewati batas waktu pemesanan.</t>
  </si>
  <si>
    <t>USE-010</t>
  </si>
  <si>
    <t>Blacklist</t>
  </si>
  <si>
    <t>User yang sedang blacklist tidak dapat membuat order.</t>
  </si>
  <si>
    <t>User dalam status blacklist aktif.</t>
  </si>
  <si>
    <t>Akun USER blacklist</t>
  </si>
  <si>
    <t>1. Login sebagai user blacklist
2. Buka Order Meal
3. Coba submit order</t>
  </si>
  <si>
    <t>Sistem menolak pembuatan order dengan pesan user sedang diblokir/blacklist.</t>
  </si>
  <si>
    <t>USE-011</t>
  </si>
  <si>
    <t>Duplicate Order</t>
  </si>
  <si>
    <t>User tidak dapat membuat order ganda untuk tanggal/shift/kantin yang sama.</t>
  </si>
  <si>
    <t>Sudah ada order aktif untuk tanggal/shift/kantin tersebut.</t>
  </si>
  <si>
    <t>Order yang sama</t>
  </si>
  <si>
    <t>1. Buat order pertama
2. Ulangi order dengan data yang sama</t>
  </si>
  <si>
    <t>Sistem menolak duplicate order atau hanya mempertahankan satu order valid.</t>
  </si>
  <si>
    <t>USE-012</t>
  </si>
  <si>
    <t>Cancel Order</t>
  </si>
  <si>
    <t>User dapat membatalkan order sebelum cutoff cancel.</t>
  </si>
  <si>
    <t>Order status ORDERED, belum lewat cutoff pembatalan.</t>
  </si>
  <si>
    <t>Order valid</t>
  </si>
  <si>
    <t>1. Buka History
2. Pilih order ORDERED
3. Klik Cancel
4. Konfirmasi</t>
  </si>
  <si>
    <t>Status order berubah menjadi CANCELLED dan audit log ORDER_CANCEL tercatat.</t>
  </si>
  <si>
    <t>USE-013</t>
  </si>
  <si>
    <t>User tidak dapat membatalkan order setelah cutoff cancel.</t>
  </si>
  <si>
    <t>Order status ORDERED, waktu sudah melewati cutoff.</t>
  </si>
  <si>
    <t>Order melewati cutoff</t>
  </si>
  <si>
    <t>1. Buka order
2. Klik Cancel</t>
  </si>
  <si>
    <t>Sistem menolak pembatalan dan menampilkan pesan batas waktu pembatalan sudah lewat.</t>
  </si>
  <si>
    <t>USE-014</t>
  </si>
  <si>
    <t>History</t>
  </si>
  <si>
    <t>User dapat melihat riwayat pesanan berdasarkan tanggal/status.</t>
  </si>
  <si>
    <t>User memiliki beberapa order.</t>
  </si>
  <si>
    <t>Filter tanggal dan status</t>
  </si>
  <si>
    <t>1. Buka History
2. Gunakan filter tanggal/status</t>
  </si>
  <si>
    <t>Riwayat tampil sesuai filter, termasuk status ORDERED, TAKEN, CANCELLED, NO_SHOW jika ada.</t>
  </si>
  <si>
    <t>USE-015</t>
  </si>
  <si>
    <t>User hanya melihat riwayat miliknya sendiri.</t>
  </si>
  <si>
    <t>Ada data order user lain di sistem.</t>
  </si>
  <si>
    <t>History user login</t>
  </si>
  <si>
    <t>1. Login sebagai USER A
2. Buka History</t>
  </si>
  <si>
    <t>Hanya order USER A yang tampil; data user lain tidak tampil.</t>
  </si>
  <si>
    <t>USE-016</t>
  </si>
  <si>
    <t>QR Code</t>
  </si>
  <si>
    <t>QR order yang sudah CANCELLED tidak dapat digunakan untuk check-in.</t>
  </si>
  <si>
    <t>Order sudah dibatalkan.</t>
  </si>
  <si>
    <t>QR order CANCELLED</t>
  </si>
  <si>
    <t>1. Buka QR order cancelled
2. Minta kantin scan</t>
  </si>
  <si>
    <t>Check-in ditolak karena status pesanan tidak ORDERED.</t>
  </si>
  <si>
    <t>USE-017</t>
  </si>
  <si>
    <t>QR order yang sudah TAKEN tidak dapat digunakan ulang.</t>
  </si>
  <si>
    <t>Order sudah pernah diambil.</t>
  </si>
  <si>
    <t>QR order TAKEN</t>
  </si>
  <si>
    <t>1. Lakukan check-in pertama
2. Scan QR yang sama lagi</t>
  </si>
  <si>
    <t>Sistem menolak pengambilan ulang karena order sudah TAKEN.</t>
  </si>
  <si>
    <t>USE-018</t>
  </si>
  <si>
    <t>Complaint</t>
  </si>
  <si>
    <t>User dapat membuat complaint terkait layanan/menu.</t>
  </si>
  <si>
    <t>User login.</t>
  </si>
  <si>
    <t>Kategori complaint, isi pesan</t>
  </si>
  <si>
    <t>1. Buka Complaint
2. Isi kategori dan deskripsi
3. Submit</t>
  </si>
  <si>
    <t>Complaint tersimpan, nomor complaint/status awal tampil, audit log tercatat.</t>
  </si>
  <si>
    <t>USE-019</t>
  </si>
  <si>
    <t>Complaint wajib memiliki isi/deskripsi valid.</t>
  </si>
  <si>
    <t>Deskripsi kosong/terlalu pendek</t>
  </si>
  <si>
    <t>1. Buka Complaint
2. Submit tanpa deskripsi</t>
  </si>
  <si>
    <t>Sistem menolak dan menampilkan validasi field wajib.</t>
  </si>
  <si>
    <t>USE-020</t>
  </si>
  <si>
    <t>Profile</t>
  </si>
  <si>
    <t>User dapat melihat profilnya.</t>
  </si>
  <si>
    <t>Data profil user</t>
  </si>
  <si>
    <t>1. Buka Profile</t>
  </si>
  <si>
    <t>Nama, NIK/email, departemen/role tampil sesuai akun login.</t>
  </si>
  <si>
    <t>USE-021</t>
  </si>
  <si>
    <t>User dapat memperbarui data profil yang diizinkan.</t>
  </si>
  <si>
    <t>Nomor kontak/preferensi yang diizinkan</t>
  </si>
  <si>
    <t>1. Buka Profile
2. Edit field yang diizinkan
3. Simpan</t>
  </si>
  <si>
    <t>Data tersimpan dan tampil kembali sesuai perubahan; field sensitif tidak bisa diubah bila tidak diizinkan.</t>
  </si>
  <si>
    <t>USE-022</t>
  </si>
  <si>
    <t>Food Menu Preview</t>
  </si>
  <si>
    <t>User dapat melihat preview menu makanan.</t>
  </si>
  <si>
    <t>Menu aktif tersedia.</t>
  </si>
  <si>
    <t>Daftar menu aktif</t>
  </si>
  <si>
    <t>1. Buka Food Menu
2. Pilih tanggal/shift bila tersedia</t>
  </si>
  <si>
    <t>Daftar menu, kategori, gambar/deskripsi tampil sesuai jadwal/menu aktif.</t>
  </si>
  <si>
    <t>USE-023</t>
  </si>
  <si>
    <t>Terms &amp; Agreement</t>
  </si>
  <si>
    <t>User dapat melihat Terms dan melakukan agreement jika diwajibkan.</t>
  </si>
  <si>
    <t>Agreement aktif dikonfigurasi admin.</t>
  </si>
  <si>
    <t>Versi agreement aktif</t>
  </si>
  <si>
    <t>1. Login user baru/belum setuju
2. Baca terms
3. Klik Setuju</t>
  </si>
  <si>
    <t>Agreement tercatat; user dapat melanjutkan penggunaan aplikasi.</t>
  </si>
  <si>
    <t>USE-024</t>
  </si>
  <si>
    <t>User yang belum menyetujui agreement dibatasi sesuai aturan.</t>
  </si>
  <si>
    <t>Agreement wajib aktif, user belum setuju.</t>
  </si>
  <si>
    <t>User belum agreement</t>
  </si>
  <si>
    <t>1. Login sebagai user belum agreement
2. Akses order</t>
  </si>
  <si>
    <t>Sistem menampilkan permintaan agreement terlebih dahulu sebelum fitur utama dapat digunakan.</t>
  </si>
  <si>
    <t>USE-025</t>
  </si>
  <si>
    <t>Announcement</t>
  </si>
  <si>
    <t>User dapat melihat pengumuman aktif.</t>
  </si>
  <si>
    <t>Admin sudah membuat announcement aktif.</t>
  </si>
  <si>
    <t>Announcement aktif</t>
  </si>
  <si>
    <t>1. Login sebagai USER
2. Buka dashboard/announcement</t>
  </si>
  <si>
    <t>Pengumuman aktif tampil sesuai periode dan status publikasi.</t>
  </si>
  <si>
    <t>USE-026</t>
  </si>
  <si>
    <t>About Page</t>
  </si>
  <si>
    <t>User dapat membuka halaman About.</t>
  </si>
  <si>
    <t>1. Buka About</t>
  </si>
  <si>
    <t>Halaman About menampilkan informasi aplikasi/versi sesuai konfigurasi.</t>
  </si>
  <si>
    <t>USE-027</t>
  </si>
  <si>
    <t>Logout</t>
  </si>
  <si>
    <t>User berhasil logout.</t>
  </si>
  <si>
    <t>Session aktif</t>
  </si>
  <si>
    <t>1. Klik Logout</t>
  </si>
  <si>
    <t>Session/token dihapus, user kembali ke halaman login dan tidak dapat mengakses halaman internal tanpa login ulang.</t>
  </si>
  <si>
    <t>URUTAN EKSEKUSI UAT - CATERING MANAGEMENT SYSTEM</t>
  </si>
  <si>
    <t>Gunakan sheet ini sebagai panduan urutan pelaksanaan agar data order, order window, QR, check-in, dashboard, dan report tersedia sebelum skenario terkait diuji.</t>
  </si>
  <si>
    <t>Urutan</t>
  </si>
  <si>
    <t>Fase</t>
  </si>
  <si>
    <t>Prasyarat Utama</t>
  </si>
  <si>
    <t>Data/Kondisi yang Harus Disiapkan</t>
  </si>
  <si>
    <t>1. Setup master data &amp; order window</t>
  </si>
  <si>
    <t>Role USER, CANTEEN, VENDOR, ADMIN</t>
  </si>
  <si>
    <t>Shift operasional lengkap</t>
  </si>
  <si>
    <t>Cutoff dibuat longgar untuk kebutuhan UAT</t>
  </si>
  <si>
    <t>Weekly cutoff dibuka/diatur agar order window aktif</t>
  </si>
  <si>
    <t>Data kantin aktif</t>
  </si>
  <si>
    <t>Data vendor aktif</t>
  </si>
  <si>
    <t>Data menu aktif</t>
  </si>
  <si>
    <t>Jadwal menu aktif untuk tanggal UAT</t>
  </si>
  <si>
    <t>2. Setup konfigurasi pendukung</t>
  </si>
  <si>
    <t>Tanggal libur dummy untuk negative test</t>
  </si>
  <si>
    <t>Pengumuman aktif dummy</t>
  </si>
  <si>
    <t>Terms aktif jika skenario agreement diuji</t>
  </si>
  <si>
    <t>3. User membuat order &amp; validasi awal</t>
  </si>
  <si>
    <t>Credential user valid</t>
  </si>
  <si>
    <t>Credential salah untuk negative test</t>
  </si>
  <si>
    <t>URL role lain</t>
  </si>
  <si>
    <t>User dummy belum agreement</t>
  </si>
  <si>
    <t>Tanggal kerja dan jadwal menu tersedia</t>
  </si>
  <si>
    <t>Tanggal/shift/kantin/menu valid; order window dibuka</t>
  </si>
  <si>
    <t>Order existing dari USE-005</t>
  </si>
  <si>
    <t>Order khusus untuk cancel test</t>
  </si>
  <si>
    <t>Order melewati cutoff cancel</t>
  </si>
  <si>
    <t>Data ORDERED, CANCELLED, TAKEN, NO_SHOW</t>
  </si>
  <si>
    <t>Minimal 2 user dengan order berbeda</t>
  </si>
  <si>
    <t>Menu dan jadwal aktif</t>
  </si>
  <si>
    <t>Data versi aplikasi</t>
  </si>
  <si>
    <t>4. User negative test dengan data khusus</t>
  </si>
  <si>
    <t>Tanggal libur dari ADM-010</t>
  </si>
  <si>
    <t>User blacklist aktif</t>
  </si>
  <si>
    <t>5. Canteen check-in &amp; validasi pengambilan</t>
  </si>
  <si>
    <t>QR dari order valid USE-005</t>
  </si>
  <si>
    <t>NIK user dengan order ORDERED</t>
  </si>
  <si>
    <t>QR order CANCELLED/TAKEN/NO_SHOW</t>
  </si>
  <si>
    <t>Order shift berbeda</t>
  </si>
  <si>
    <t>Order kantin berbeda</t>
  </si>
  <si>
    <t>6. User lanjutan setelah order/check-in</t>
  </si>
  <si>
    <t>Order CANCELLED dari cancel test</t>
  </si>
  <si>
    <t>Order TAKEN dari CAN-002/CAN-003</t>
  </si>
  <si>
    <t>Kategori complaint &amp; isi pesan</t>
  </si>
  <si>
    <t>Field profil yang boleh diedit</t>
  </si>
  <si>
    <t>7. Vendor rekap &amp; monitoring</t>
  </si>
  <si>
    <t>Data ORDERED/CANCELLED dari user</t>
  </si>
  <si>
    <t>Data TAKEN dari check-in dan ORDERED belum diambil</t>
  </si>
  <si>
    <t>Data order multi tanggal/shift</t>
  </si>
  <si>
    <t>Order baru/cancel saat dashboard vendor terbuka</t>
  </si>
  <si>
    <t>8. Admin reporting, monitoring &amp; closing test</t>
  </si>
  <si>
    <t>Data ORDERED, TAKEN, CANCELLED, NO_SHOW</t>
  </si>
  <si>
    <t>User dengan strike</t>
  </si>
  <si>
    <t>Complaint dari USE-018</t>
  </si>
  <si>
    <t>Log dari login/order/cancel/check-in</t>
  </si>
  <si>
    <t>Data transaksi multi status</t>
  </si>
  <si>
    <t>Hasil query ADM-022</t>
  </si>
  <si>
    <t>Cost per porsi dan transaksi</t>
  </si>
  <si>
    <t>User dummy untuk inactive test</t>
  </si>
  <si>
    <t>SMTP dummy/test</t>
  </si>
  <si>
    <t>Server NTP/timezone</t>
  </si>
  <si>
    <t>Logo/nama aplikasi/theme dummy</t>
  </si>
  <si>
    <t>Server monitoring aktif</t>
  </si>
  <si>
    <t>Informasi release</t>
  </si>
  <si>
    <t>CHECKLIST DATA &amp; KONDISI YANG HARUS DISIAPKAN SEBELUM UAT</t>
  </si>
  <si>
    <t>Tujuan: menghindari perpindahan role berulang saat UAT karena data order, schedule, cutoff, atau status transaksi belum tersedia.</t>
  </si>
  <si>
    <t>No</t>
  </si>
  <si>
    <t>Kategori Data/Kondisi</t>
  </si>
  <si>
    <t>Detail Persiapan</t>
  </si>
  <si>
    <t>Digunakan untuk Skenario</t>
  </si>
  <si>
    <t>PIC/Role</t>
  </si>
  <si>
    <t>Akun &amp; Role</t>
  </si>
  <si>
    <t>Siapkan akun ADMIN, USER aktif, USER blacklist, CANTEEN, dan VENDOR.</t>
  </si>
  <si>
    <t>ADM-001/003/006, USE-001/010, CAN-001, VEN-001</t>
  </si>
  <si>
    <t>Admin</t>
  </si>
  <si>
    <t>Pastikan password/credential sudah diketahui tester.</t>
  </si>
  <si>
    <t>Master Shift</t>
  </si>
  <si>
    <t>Buat shift yang dipakai pada tanggal UAT, termasuk variasi shift berbeda.</t>
  </si>
  <si>
    <t>ADM-007, ADM-014, USE-005, CAN-007</t>
  </si>
  <si>
    <t>Minimal 2 shift untuk negative test shift tidak sesuai.</t>
  </si>
  <si>
    <t>Order Window/Cutoff</t>
  </si>
  <si>
    <t>Atur cutoff agar pemesanan dan cancel order bisa dilakukan saat UAT.</t>
  </si>
  <si>
    <t>ADM-008/009, USE-005, USE-012</t>
  </si>
  <si>
    <t>Jangan mulai UAT sebelum order window terbuka.</t>
  </si>
  <si>
    <t>Master Kantin</t>
  </si>
  <si>
    <t>Siapkan minimal 2 kantin aktif.</t>
  </si>
  <si>
    <t>ADM-011, USE-005, CAN-008</t>
  </si>
  <si>
    <t>Dibutuhkan untuk test kantin tidak sesuai.</t>
  </si>
  <si>
    <t>Master Vendor</t>
  </si>
  <si>
    <t>Siapkan vendor aktif yang terhubung dengan menu/jadwal.</t>
  </si>
  <si>
    <t>ADM-012, ADM-013, VEN-002</t>
  </si>
  <si>
    <t>Pastikan vendor dapat login.</t>
  </si>
  <si>
    <t>Master Menu</t>
  </si>
  <si>
    <t>Siapkan beberapa menu aktif dengan kategori/gambar/deskripsi.</t>
  </si>
  <si>
    <t>ADM-013, ADM-014, USE-022</t>
  </si>
  <si>
    <t>Menu harus muncul di preview dan order.</t>
  </si>
  <si>
    <t>Buat jadwal menu untuk tanggal UAT, minimal multi tanggal/shift/kantin.</t>
  </si>
  <si>
    <t>ADM-014, USE-004/005, VEN-004</t>
  </si>
  <si>
    <t>Ini prasyarat utama sebelum user create order.</t>
  </si>
  <si>
    <t>Tanggal Libur Dummy</t>
  </si>
  <si>
    <t>Siapkan 1 tanggal libur untuk negative test.</t>
  </si>
  <si>
    <t>ADM-010, USE-007</t>
  </si>
  <si>
    <t>Jangan gunakan tanggal utama UAT jika mengganggu flow.</t>
  </si>
  <si>
    <t>Data Order ORDERED</t>
  </si>
  <si>
    <t>Buat order valid dari user untuk tanggal/shift/kantin aktif.</t>
  </si>
  <si>
    <t>USE-005/006/011, CAN-002/003, VEN-002</t>
  </si>
  <si>
    <t>User</t>
  </si>
  <si>
    <t>Minimal beberapa order agar report/dashboard terbaca.</t>
  </si>
  <si>
    <t>Data Order CANCELLED</t>
  </si>
  <si>
    <t>Buat order lalu cancel sebelum cutoff.</t>
  </si>
  <si>
    <t>USE-012/016, CAN-005, ADM-022</t>
  </si>
  <si>
    <t>Gunakan order khusus agar tidak mengganggu test check-in.</t>
  </si>
  <si>
    <t>Data Order TAKEN</t>
  </si>
  <si>
    <t>Lakukan check-in untuk order valid.</t>
  </si>
  <si>
    <t>CAN-002/003, USE-017, VEN-003, ADM-002</t>
  </si>
  <si>
    <t>Canteen</t>
  </si>
  <si>
    <t>Dibutuhkan untuk pickup stats dan dashboard admin.</t>
  </si>
  <si>
    <t>Data NO_SHOW/Blacklist</t>
  </si>
  <si>
    <t>Siapkan kondisi user dengan strike/blacklist aktif.</t>
  </si>
  <si>
    <t>USE-010, CAN-006, ADM-015/016/017</t>
  </si>
  <si>
    <t>Bisa mockup bila proses no-show otomatis belum siap.</t>
  </si>
  <si>
    <t>Complaint User</t>
  </si>
  <si>
    <t>User membuat complaint untuk ditindaklanjuti admin.</t>
  </si>
  <si>
    <t>USE-018/019, ADM-020</t>
  </si>
  <si>
    <t>User/Admin</t>
  </si>
  <si>
    <t>Minimal 1 complaint valid dan 1 negative validation.</t>
  </si>
  <si>
    <t>Pastikan aktivitas login, order, cancel, check-in tercatat.</t>
  </si>
  <si>
    <t>All Role</t>
  </si>
  <si>
    <t>Jalankan beberapa transaksi sebelum audit log diuji.</t>
  </si>
  <si>
    <t>Cost Data</t>
  </si>
  <si>
    <t>Siapkan cost per porsi/periode jika modul cost membutuhkan input.</t>
  </si>
  <si>
    <t>Dibutuhkan untuk validasi cost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</si>
</sst>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7" x14ac:knownFonts="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i/>
      <sz val="11"/>
      <color rgb="FFFFFFFF"/>
      <name val="Carlito"/>
    </font>
    <font>
      <sz val="11"/>
      <color rgb="FF000000"/>
      <name val="Carlito"/>
    </font>
    <font>
      <i/>
      <sz val="11"/>
      <color rgb="FF1F2937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center" vertical="top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left" vertical="center" wrapText="1"/>
    </xf>
    <xf numFmtId="10" fontId="5" fillId="6" borderId="0" xfId="0" applyNumberFormat="1" applyFont="1" applyFill="1" applyBorder="1" applyAlignment="1">
      <alignment horizontal="left" vertical="center" wrapText="1"/>
    </xf>
    <xf numFmtId="0" fontId="5" fillId="6" borderId="2" xfId="0" applyNumberFormat="1" applyFont="1" applyFill="1" applyBorder="1" applyAlignment="1">
      <alignment horizontal="left" vertical="center" wrapText="1"/>
    </xf>
    <xf numFmtId="0" fontId="3" fillId="5" borderId="0" xfId="0" applyNumberFormat="1" applyFont="1" applyFill="1" applyBorder="1" applyAlignment="1">
      <alignment horizontal="left" vertical="center" wrapText="1"/>
    </xf>
    <xf numFmtId="0" fontId="2" fillId="4" borderId="0" xfId="0" applyNumberFormat="1" applyFont="1" applyFill="1" applyBorder="1" applyAlignment="1">
      <alignment horizontal="left" vertical="center" wrapText="1"/>
    </xf>
    <xf numFmtId="0" fontId="2" fillId="4" borderId="0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vertical="center" wrapText="1"/>
    </xf>
    <xf numFmtId="0" fontId="2" fillId="4" borderId="3" xfId="0" applyNumberFormat="1" applyFont="1" applyFill="1" applyBorder="1" applyAlignment="1">
      <alignment vertical="center" wrapText="1"/>
    </xf>
    <xf numFmtId="0" fontId="5" fillId="6" borderId="3" xfId="0" applyNumberFormat="1" applyFont="1" applyFill="1" applyBorder="1" applyAlignment="1">
      <alignment horizontal="center" vertical="center" wrapText="1"/>
    </xf>
    <xf numFmtId="10" fontId="5" fillId="6" borderId="3" xfId="0" applyNumberFormat="1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center" vertical="center" wrapText="1"/>
    </xf>
    <xf numFmtId="10" fontId="3" fillId="5" borderId="3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5" fillId="6" borderId="4" xfId="0" applyNumberFormat="1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left" vertical="center" wrapText="1"/>
    </xf>
    <xf numFmtId="164" fontId="5" fillId="6" borderId="3" xfId="0" applyNumberFormat="1" applyFont="1" applyFill="1" applyBorder="1" applyAlignment="1">
      <alignment horizontal="right" vertical="center" wrapText="1"/>
    </xf>
    <xf numFmtId="0" fontId="5" fillId="6" borderId="3" xfId="0" applyNumberFormat="1" applyFont="1" applyFill="1" applyBorder="1" applyAlignment="1">
      <alignment horizontal="left" vertical="center" wrapText="1"/>
    </xf>
    <xf numFmtId="0" fontId="5" fillId="6" borderId="3" xfId="0" applyNumberFormat="1" applyFont="1" applyFill="1" applyBorder="1" applyAlignment="1">
      <alignment horizontal="right" vertical="center" wrapText="1"/>
    </xf>
    <xf numFmtId="1" fontId="5" fillId="6" borderId="3" xfId="0" applyNumberFormat="1" applyFont="1" applyFill="1" applyBorder="1" applyAlignment="1">
      <alignment horizontal="right" vertical="center" wrapText="1"/>
    </xf>
    <xf numFmtId="10" fontId="5" fillId="6" borderId="3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2" fillId="3" borderId="5" xfId="0" applyNumberFormat="1" applyFont="1" applyFill="1" applyBorder="1" applyAlignment="1">
      <alignment horizontal="center" vertical="top" wrapText="1"/>
    </xf>
    <xf numFmtId="0" fontId="2" fillId="3" borderId="6" xfId="0" applyNumberFormat="1" applyFont="1" applyFill="1" applyBorder="1" applyAlignment="1">
      <alignment horizontal="center" vertical="top" wrapText="1"/>
    </xf>
    <xf numFmtId="0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center" wrapText="1"/>
    </xf>
    <xf numFmtId="0" fontId="0" fillId="0" borderId="11" xfId="0" applyNumberFormat="1" applyFont="1" applyFill="1" applyBorder="1" applyAlignment="1">
      <alignment vertical="center" wrapText="1"/>
    </xf>
    <xf numFmtId="0" fontId="2" fillId="3" borderId="7" xfId="0" applyNumberFormat="1" applyFont="1" applyFill="1" applyBorder="1" applyAlignment="1">
      <alignment horizontal="center"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9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wrapText="1"/>
    </xf>
    <xf numFmtId="0" fontId="1" fillId="4" borderId="3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1" fillId="7" borderId="0" xfId="0" applyNumberFormat="1" applyFont="1" applyFill="1" applyBorder="1" applyAlignment="1">
      <alignment horizontal="center" vertical="center"/>
    </xf>
    <xf numFmtId="0" fontId="6" fillId="8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8"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Summary Status UAT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Ringkasan!$D$3:$D$6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Not Run</c:v>
                </c:pt>
              </c:strCache>
            </c:strRef>
          </c:cat>
          <c:val>
            <c:numRef>
              <c:f>Ringkasan!$E$3:$E$6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0-4D75-938D-8C0C1903A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1</xdr:row>
      <xdr:rowOff>19050</xdr:rowOff>
    </xdr:from>
    <xdr:to>
      <xdr:col>11</xdr:col>
      <xdr:colOff>123825</xdr:colOff>
      <xdr:row>17</xdr:row>
      <xdr:rowOff>19050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UAT_ADMIN" displayName="Tbl_UAT_ADMIN" ref="A2:P31">
  <tableColumns count="16">
    <tableColumn id="1" xr3:uid="{00000000-0010-0000-0000-000001000000}" name="Test Case ID"/>
    <tableColumn id="2" xr3:uid="{00000000-0010-0000-0000-000002000000}" name="Role"/>
    <tableColumn id="3" xr3:uid="{00000000-0010-0000-0000-000003000000}" name="Modul/Fungsi"/>
    <tableColumn id="4" xr3:uid="{00000000-0010-0000-0000-000004000000}" name="Skenario UAT"/>
    <tableColumn id="5" xr3:uid="{00000000-0010-0000-0000-000005000000}" name="Prasyarat"/>
    <tableColumn id="6" xr3:uid="{00000000-0010-0000-0000-000006000000}" name="Data Uji"/>
    <tableColumn id="7" xr3:uid="{00000000-0010-0000-0000-000007000000}" name="Langkah Pengujian"/>
    <tableColumn id="8" xr3:uid="{00000000-0010-0000-0000-000008000000}" name="Expected Result"/>
    <tableColumn id="9" xr3:uid="{00000000-0010-0000-0000-000009000000}" name="Actual Result"/>
    <tableColumn id="10" xr3:uid="{00000000-0010-0000-0000-00000A000000}" name="Status"/>
    <tableColumn id="11" xr3:uid="{00000000-0010-0000-0000-00000B000000}" name="Severity"/>
    <tableColumn id="12" xr3:uid="{00000000-0010-0000-0000-00000C000000}" name="Tester"/>
    <tableColumn id="13" xr3:uid="{00000000-0010-0000-0000-00000D000000}" name="Tanggal Test"/>
    <tableColumn id="14" xr3:uid="{00000000-0010-0000-0000-00000E000000}" name="Evidence/Link"/>
    <tableColumn id="15" xr3:uid="{00000000-0010-0000-0000-00000F000000}" name="Defect ID"/>
    <tableColumn id="16" xr3:uid="{00000000-0010-0000-0000-000010000000}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UAT_CANTEEN" displayName="Tbl_UAT_CANTEEN" ref="A2:P10">
  <tableColumns count="16">
    <tableColumn id="1" xr3:uid="{00000000-0010-0000-0100-000001000000}" name="Test Case ID"/>
    <tableColumn id="2" xr3:uid="{00000000-0010-0000-0100-000002000000}" name="Role"/>
    <tableColumn id="3" xr3:uid="{00000000-0010-0000-0100-000003000000}" name="Modul/Fungsi"/>
    <tableColumn id="4" xr3:uid="{00000000-0010-0000-0100-000004000000}" name="Skenario UAT"/>
    <tableColumn id="5" xr3:uid="{00000000-0010-0000-0100-000005000000}" name="Prasyarat"/>
    <tableColumn id="6" xr3:uid="{00000000-0010-0000-0100-000006000000}" name="Data Uji"/>
    <tableColumn id="7" xr3:uid="{00000000-0010-0000-0100-000007000000}" name="Langkah Pengujian"/>
    <tableColumn id="8" xr3:uid="{00000000-0010-0000-0100-000008000000}" name="Expected Result"/>
    <tableColumn id="9" xr3:uid="{00000000-0010-0000-0100-000009000000}" name="Actual Result"/>
    <tableColumn id="10" xr3:uid="{00000000-0010-0000-0100-00000A000000}" name="Status"/>
    <tableColumn id="11" xr3:uid="{00000000-0010-0000-0100-00000B000000}" name="Severity"/>
    <tableColumn id="12" xr3:uid="{00000000-0010-0000-0100-00000C000000}" name="Tester"/>
    <tableColumn id="13" xr3:uid="{00000000-0010-0000-0100-00000D000000}" name="Tanggal Test"/>
    <tableColumn id="14" xr3:uid="{00000000-0010-0000-0100-00000E000000}" name="Evidence/Link"/>
    <tableColumn id="15" xr3:uid="{00000000-0010-0000-0100-00000F000000}" name="Defect ID"/>
    <tableColumn id="16" xr3:uid="{00000000-0010-0000-0100-000010000000}" name="Catat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UAT_VENDOR" displayName="Tbl_UAT_VENDOR" ref="A2:P9">
  <tableColumns count="16">
    <tableColumn id="1" xr3:uid="{00000000-0010-0000-0200-000001000000}" name="Test Case ID"/>
    <tableColumn id="2" xr3:uid="{00000000-0010-0000-0200-000002000000}" name="Role"/>
    <tableColumn id="3" xr3:uid="{00000000-0010-0000-0200-000003000000}" name="Modul/Fungsi"/>
    <tableColumn id="4" xr3:uid="{00000000-0010-0000-0200-000004000000}" name="Skenario UAT"/>
    <tableColumn id="5" xr3:uid="{00000000-0010-0000-0200-000005000000}" name="Prasyarat"/>
    <tableColumn id="6" xr3:uid="{00000000-0010-0000-0200-000006000000}" name="Data Uji"/>
    <tableColumn id="7" xr3:uid="{00000000-0010-0000-0200-000007000000}" name="Langkah Pengujian"/>
    <tableColumn id="8" xr3:uid="{00000000-0010-0000-0200-000008000000}" name="Expected Result"/>
    <tableColumn id="9" xr3:uid="{00000000-0010-0000-0200-000009000000}" name="Actual Result"/>
    <tableColumn id="10" xr3:uid="{00000000-0010-0000-0200-00000A000000}" name="Status"/>
    <tableColumn id="11" xr3:uid="{00000000-0010-0000-0200-00000B000000}" name="Severity"/>
    <tableColumn id="12" xr3:uid="{00000000-0010-0000-0200-00000C000000}" name="Tester"/>
    <tableColumn id="13" xr3:uid="{00000000-0010-0000-0200-00000D000000}" name="Tanggal Test"/>
    <tableColumn id="14" xr3:uid="{00000000-0010-0000-0200-00000E000000}" name="Evidence/Link"/>
    <tableColumn id="15" xr3:uid="{00000000-0010-0000-0200-00000F000000}" name="Defect ID"/>
    <tableColumn id="16" xr3:uid="{00000000-0010-0000-0200-000010000000}" name="Catat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UAT_USER" displayName="Tbl_UAT_USER" ref="A2:P29">
  <tableColumns count="16">
    <tableColumn id="1" xr3:uid="{00000000-0010-0000-0300-000001000000}" name="Test Case ID"/>
    <tableColumn id="2" xr3:uid="{00000000-0010-0000-0300-000002000000}" name="Role"/>
    <tableColumn id="3" xr3:uid="{00000000-0010-0000-0300-000003000000}" name="Modul/Fungsi"/>
    <tableColumn id="4" xr3:uid="{00000000-0010-0000-0300-000004000000}" name="Skenario UAT"/>
    <tableColumn id="5" xr3:uid="{00000000-0010-0000-0300-000005000000}" name="Prasyarat"/>
    <tableColumn id="6" xr3:uid="{00000000-0010-0000-0300-000006000000}" name="Data Uji"/>
    <tableColumn id="7" xr3:uid="{00000000-0010-0000-0300-000007000000}" name="Langkah Pengujian"/>
    <tableColumn id="8" xr3:uid="{00000000-0010-0000-0300-000008000000}" name="Expected Result"/>
    <tableColumn id="9" xr3:uid="{00000000-0010-0000-0300-000009000000}" name="Actual Result"/>
    <tableColumn id="10" xr3:uid="{00000000-0010-0000-0300-00000A000000}" name="Status"/>
    <tableColumn id="11" xr3:uid="{00000000-0010-0000-0300-00000B000000}" name="Severity"/>
    <tableColumn id="12" xr3:uid="{00000000-0010-0000-0300-00000C000000}" name="Tester"/>
    <tableColumn id="13" xr3:uid="{00000000-0010-0000-0300-00000D000000}" name="Tanggal Test"/>
    <tableColumn id="14" xr3:uid="{00000000-0010-0000-0300-00000E000000}" name="Evidence/Link"/>
    <tableColumn id="15" xr3:uid="{00000000-0010-0000-0300-00000F000000}" name="Defect ID"/>
    <tableColumn id="16" xr3:uid="{00000000-0010-0000-0300-000010000000}" name="Catat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ATFlowTable" displayName="UATFlowTable" ref="A4:I75">
  <tableColumns count="9">
    <tableColumn id="1" xr3:uid="{00000000-0010-0000-0400-000001000000}" name="Urutan"/>
    <tableColumn id="2" xr3:uid="{00000000-0010-0000-0400-000002000000}" name="Fase"/>
    <tableColumn id="3" xr3:uid="{00000000-0010-0000-0400-000003000000}" name="Role"/>
    <tableColumn id="4" xr3:uid="{00000000-0010-0000-0400-000004000000}" name="Test Case ID"/>
    <tableColumn id="5" xr3:uid="{00000000-0010-0000-0400-000005000000}" name="Modul/Fungsi"/>
    <tableColumn id="6" xr3:uid="{00000000-0010-0000-0400-000006000000}" name="Skenario UAT"/>
    <tableColumn id="7" xr3:uid="{00000000-0010-0000-0400-000007000000}" name="Prasyarat Utama"/>
    <tableColumn id="8" xr3:uid="{00000000-0010-0000-0400-000008000000}" name="Data/Kondisi yang Harus Disiapkan"/>
    <tableColumn id="9" xr3:uid="{00000000-0010-0000-0400-000009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UATPrepTable" displayName="UATPrepTable" ref="A4:G19">
  <tableColumns count="7">
    <tableColumn id="1" xr3:uid="{00000000-0010-0000-0500-000001000000}" name="No"/>
    <tableColumn id="2" xr3:uid="{00000000-0010-0000-0500-000002000000}" name="Kategori Data/Kondisi"/>
    <tableColumn id="3" xr3:uid="{00000000-0010-0000-0500-000003000000}" name="Detail Persiapan"/>
    <tableColumn id="4" xr3:uid="{00000000-0010-0000-0500-000004000000}" name="Digunakan untuk Skenario"/>
    <tableColumn id="5" xr3:uid="{00000000-0010-0000-0500-000005000000}" name="PIC/Role"/>
    <tableColumn id="6" xr3:uid="{00000000-0010-0000-0500-000006000000}" name="Status"/>
    <tableColumn id="7" xr3:uid="{00000000-0010-0000-0500-000007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workbookViewId="0">
      <selection sqref="A1:C1"/>
    </sheetView>
  </sheetViews>
  <sheetFormatPr defaultRowHeight="14.4" x14ac:dyDescent="0.3"/>
  <cols>
    <col min="1" max="1" width="26" customWidth="1"/>
    <col min="2" max="2" width="14" customWidth="1"/>
    <col min="3" max="3" width="10" customWidth="1"/>
    <col min="4" max="4" width="14" customWidth="1"/>
    <col min="5" max="6" width="12" customWidth="1"/>
    <col min="7" max="7" width="14" customWidth="1"/>
    <col min="8" max="11" width="12" customWidth="1"/>
  </cols>
  <sheetData>
    <row r="1" spans="1:11" ht="40.799999999999997" customHeight="1" x14ac:dyDescent="0.3">
      <c r="A1" s="52" t="s">
        <v>0</v>
      </c>
      <c r="B1" s="52"/>
      <c r="C1" s="52"/>
      <c r="D1" s="11"/>
      <c r="E1" s="9"/>
      <c r="F1" s="9"/>
      <c r="G1" s="9"/>
      <c r="H1" s="9"/>
      <c r="I1" s="9"/>
      <c r="J1" s="9"/>
      <c r="K1" s="9"/>
    </row>
    <row r="2" spans="1:11" x14ac:dyDescent="0.3">
      <c r="A2" s="24" t="s">
        <v>1</v>
      </c>
      <c r="B2" s="25">
        <v>46175</v>
      </c>
      <c r="C2" s="26"/>
      <c r="D2" s="22" t="s">
        <v>2</v>
      </c>
      <c r="E2" s="21" t="s">
        <v>3</v>
      </c>
      <c r="F2" s="9"/>
      <c r="G2" s="9"/>
      <c r="H2" s="9"/>
      <c r="I2" s="9"/>
      <c r="J2" s="9"/>
      <c r="K2" s="9"/>
    </row>
    <row r="3" spans="1:11" x14ac:dyDescent="0.3">
      <c r="A3" s="24" t="s">
        <v>4</v>
      </c>
      <c r="B3" s="27">
        <f>SUM(B13:B16)</f>
        <v>71</v>
      </c>
      <c r="C3" s="26"/>
      <c r="D3" s="23" t="s">
        <v>5</v>
      </c>
      <c r="E3" s="17">
        <f>B4</f>
        <v>0</v>
      </c>
      <c r="F3" s="9"/>
      <c r="G3" s="9"/>
      <c r="H3" s="9"/>
      <c r="I3" s="9"/>
      <c r="J3" s="9"/>
      <c r="K3" s="9"/>
    </row>
    <row r="4" spans="1:11" x14ac:dyDescent="0.3">
      <c r="A4" s="24" t="s">
        <v>5</v>
      </c>
      <c r="B4" s="27">
        <f>SUM(C13:C16)</f>
        <v>0</v>
      </c>
      <c r="C4" s="26"/>
      <c r="D4" s="23" t="s">
        <v>6</v>
      </c>
      <c r="E4" s="17">
        <f>B5</f>
        <v>0</v>
      </c>
      <c r="F4" s="9"/>
      <c r="G4" s="9"/>
      <c r="H4" s="10"/>
      <c r="I4" s="9"/>
      <c r="J4" s="9"/>
      <c r="K4" s="9"/>
    </row>
    <row r="5" spans="1:11" x14ac:dyDescent="0.3">
      <c r="A5" s="24" t="s">
        <v>6</v>
      </c>
      <c r="B5" s="27">
        <f>SUM(D13:D16)</f>
        <v>0</v>
      </c>
      <c r="C5" s="26"/>
      <c r="D5" s="23" t="s">
        <v>7</v>
      </c>
      <c r="E5" s="17">
        <f>B6</f>
        <v>0</v>
      </c>
      <c r="F5" s="9"/>
      <c r="G5" s="9"/>
      <c r="H5" s="10"/>
      <c r="I5" s="9"/>
      <c r="J5" s="9"/>
      <c r="K5" s="9"/>
    </row>
    <row r="6" spans="1:11" x14ac:dyDescent="0.3">
      <c r="A6" s="24" t="s">
        <v>7</v>
      </c>
      <c r="B6" s="27">
        <f>SUM(E13:E16)</f>
        <v>0</v>
      </c>
      <c r="C6" s="26"/>
      <c r="D6" s="23" t="s">
        <v>8</v>
      </c>
      <c r="E6" s="17">
        <f>B7</f>
        <v>71</v>
      </c>
      <c r="F6" s="9"/>
      <c r="G6" s="9"/>
      <c r="H6" s="10"/>
      <c r="I6" s="9"/>
      <c r="J6" s="9"/>
      <c r="K6" s="9"/>
    </row>
    <row r="7" spans="1:11" x14ac:dyDescent="0.3">
      <c r="A7" s="24" t="s">
        <v>8</v>
      </c>
      <c r="B7" s="27">
        <f>SUM(F13:F16)</f>
        <v>71</v>
      </c>
      <c r="C7" s="26"/>
      <c r="D7" s="11"/>
      <c r="E7" s="9"/>
      <c r="F7" s="9"/>
      <c r="G7" s="9"/>
      <c r="H7" s="10"/>
      <c r="I7" s="9"/>
      <c r="J7" s="9"/>
      <c r="K7" s="9"/>
    </row>
    <row r="8" spans="1:11" x14ac:dyDescent="0.3">
      <c r="A8" s="24" t="s">
        <v>9</v>
      </c>
      <c r="B8" s="28">
        <f>SUM(G13:G16)</f>
        <v>0</v>
      </c>
      <c r="C8" s="26"/>
      <c r="D8" s="11"/>
      <c r="E8" s="9"/>
      <c r="F8" s="9"/>
      <c r="G8" s="9"/>
      <c r="H8" s="10"/>
      <c r="I8" s="9"/>
      <c r="J8" s="9"/>
      <c r="K8" s="9"/>
    </row>
    <row r="9" spans="1:11" x14ac:dyDescent="0.3">
      <c r="A9" s="24" t="s">
        <v>10</v>
      </c>
      <c r="B9" s="29">
        <f>IF(B3=0,0,B4/B3)</f>
        <v>0</v>
      </c>
      <c r="C9" s="26"/>
      <c r="D9" s="11"/>
      <c r="E9" s="9"/>
      <c r="F9" s="9"/>
      <c r="G9" s="9"/>
      <c r="H9" s="10"/>
      <c r="I9" s="9"/>
      <c r="J9" s="9"/>
      <c r="K9" s="9"/>
    </row>
    <row r="10" spans="1:11" x14ac:dyDescent="0.3">
      <c r="H10" s="10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11.4" customHeight="1" x14ac:dyDescent="0.3">
      <c r="A12" s="15" t="s">
        <v>11</v>
      </c>
      <c r="B12" s="16" t="s">
        <v>12</v>
      </c>
      <c r="C12" s="16" t="s">
        <v>5</v>
      </c>
      <c r="D12" s="16" t="s">
        <v>6</v>
      </c>
      <c r="E12" s="16" t="s">
        <v>7</v>
      </c>
      <c r="F12" s="16" t="s">
        <v>8</v>
      </c>
      <c r="G12" s="16" t="s">
        <v>10</v>
      </c>
      <c r="H12" s="7"/>
      <c r="I12" s="7"/>
      <c r="J12" s="7"/>
      <c r="K12" s="7"/>
    </row>
    <row r="13" spans="1:11" x14ac:dyDescent="0.3">
      <c r="A13" s="17" t="s">
        <v>13</v>
      </c>
      <c r="B13" s="17">
        <f>COUNTA(UAT_ADMIN!A3:A997)</f>
        <v>29</v>
      </c>
      <c r="C13" s="17">
        <f>COUNTIF(UAT_ADMIN!J3:J997,"Pass")</f>
        <v>0</v>
      </c>
      <c r="D13" s="17">
        <f>COUNTIF(UAT_ADMIN!J3:J997,"Fail")</f>
        <v>0</v>
      </c>
      <c r="E13" s="17">
        <f>COUNTIF(UAT_ADMIN!J3:J997,"Blocked")</f>
        <v>0</v>
      </c>
      <c r="F13" s="17">
        <f>COUNTIF(UAT_ADMIN!J3:J997,"Not Run")</f>
        <v>29</v>
      </c>
      <c r="G13" s="18">
        <f>IF(B13=0,0,C13/B13)</f>
        <v>0</v>
      </c>
      <c r="H13" s="9"/>
      <c r="I13" s="9"/>
      <c r="J13" s="9"/>
      <c r="K13" s="9"/>
    </row>
    <row r="14" spans="1:11" x14ac:dyDescent="0.3">
      <c r="A14" s="17" t="s">
        <v>14</v>
      </c>
      <c r="B14" s="17">
        <f>COUNTA(UAT_CANTEEN!A3:A995)</f>
        <v>8</v>
      </c>
      <c r="C14" s="17">
        <f>COUNTIF(UAT_CANTEEN!J3:J995,"Pass")</f>
        <v>0</v>
      </c>
      <c r="D14" s="17">
        <f>COUNTIF(UAT_CANTEEN!J3:J995,"Fail")</f>
        <v>0</v>
      </c>
      <c r="E14" s="17">
        <f>COUNTIF(UAT_CANTEEN!J3:J995,"Blocked")</f>
        <v>0</v>
      </c>
      <c r="F14" s="17">
        <f>COUNTIF(UAT_CANTEEN!J3:J995,"Not Run")</f>
        <v>8</v>
      </c>
      <c r="G14" s="18">
        <f>IF(B14=0,0,C14/B14)</f>
        <v>0</v>
      </c>
      <c r="H14" s="9"/>
      <c r="I14" s="9"/>
      <c r="J14" s="9"/>
      <c r="K14" s="9"/>
    </row>
    <row r="15" spans="1:11" x14ac:dyDescent="0.3">
      <c r="A15" s="17" t="s">
        <v>15</v>
      </c>
      <c r="B15" s="17">
        <f>COUNTA(UAT_VENDOR!A3:A997)</f>
        <v>7</v>
      </c>
      <c r="C15" s="17">
        <f>COUNTIF(UAT_VENDOR!J3:J997,"Pass")</f>
        <v>0</v>
      </c>
      <c r="D15" s="17">
        <f>COUNTIF(UAT_VENDOR!J3:J997,"Fail")</f>
        <v>0</v>
      </c>
      <c r="E15" s="17">
        <f>COUNTIF(UAT_VENDOR!J3:J997,"Blocked")</f>
        <v>0</v>
      </c>
      <c r="F15" s="17">
        <f>COUNTIF(UAT_VENDOR!J3:J997,"Not Run")</f>
        <v>7</v>
      </c>
      <c r="G15" s="18">
        <f>IF(B15=0,0,C15/B15)</f>
        <v>0</v>
      </c>
      <c r="H15" s="9"/>
      <c r="I15" s="9"/>
      <c r="J15" s="9"/>
      <c r="K15" s="9"/>
    </row>
    <row r="16" spans="1:11" x14ac:dyDescent="0.3">
      <c r="A16" s="17" t="s">
        <v>16</v>
      </c>
      <c r="B16" s="17">
        <f>COUNTA(UAT_USER!A3:A1000)</f>
        <v>27</v>
      </c>
      <c r="C16" s="17">
        <f>COUNTIF(UAT_USER!J3:J1000,"Pass")</f>
        <v>0</v>
      </c>
      <c r="D16" s="17">
        <f>COUNTIF(UAT_USER!J3:J1000,"Fail")</f>
        <v>0</v>
      </c>
      <c r="E16" s="17">
        <f>COUNTIF(UAT_USER!J3:J1000,"Blocked")</f>
        <v>0</v>
      </c>
      <c r="F16" s="17">
        <f>COUNTIF(UAT_USER!J3:J1000,"Not Run")</f>
        <v>27</v>
      </c>
      <c r="G16" s="18">
        <f>IF(B16=0,0,C16/B16)</f>
        <v>0</v>
      </c>
      <c r="H16" s="9"/>
      <c r="I16" s="9"/>
      <c r="J16" s="9"/>
      <c r="K16" s="9"/>
    </row>
    <row r="17" spans="1:11" x14ac:dyDescent="0.3">
      <c r="A17" s="19" t="s">
        <v>17</v>
      </c>
      <c r="B17" s="19">
        <f>SUM(B13:B16)</f>
        <v>71</v>
      </c>
      <c r="C17" s="19">
        <f>SUM(C13:C16)</f>
        <v>0</v>
      </c>
      <c r="D17" s="19">
        <f>SUM(D13:D16)</f>
        <v>0</v>
      </c>
      <c r="E17" s="19">
        <f>SUM(E13:E16)</f>
        <v>0</v>
      </c>
      <c r="F17" s="19">
        <f>SUM(F13:F16)</f>
        <v>71</v>
      </c>
      <c r="G17" s="20">
        <f>IF(B17=0,0,C17/B17)</f>
        <v>0</v>
      </c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13" t="s">
        <v>18</v>
      </c>
      <c r="B22" s="14" t="s">
        <v>12</v>
      </c>
      <c r="C22" s="14" t="s">
        <v>5</v>
      </c>
      <c r="D22" s="14" t="s">
        <v>6</v>
      </c>
      <c r="E22" s="14" t="s">
        <v>7</v>
      </c>
      <c r="F22" s="14" t="s">
        <v>8</v>
      </c>
      <c r="G22" s="21" t="s">
        <v>10</v>
      </c>
      <c r="H22" s="9"/>
      <c r="I22" s="9"/>
      <c r="J22" s="9"/>
      <c r="K22" s="9"/>
    </row>
    <row r="23" spans="1:11" x14ac:dyDescent="0.3">
      <c r="A23" s="12" t="s">
        <v>19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mergeCells count="1">
    <mergeCell ref="A1:C1"/>
  </mergeCells>
  <conditionalFormatting sqref="G13:G17">
    <cfRule type="dataBar" priority="1">
      <dataBar>
        <cfvo type="min"/>
        <cfvo type="max"/>
        <color rgb="FF5B9BD5"/>
      </dataBar>
    </cfRule>
  </conditionalFormatting>
  <conditionalFormatting sqref="G13:G17">
    <cfRule type="dataBar" priority="2">
      <dataBar>
        <cfvo type="min"/>
        <cfvo type="max"/>
        <color rgb="FF5B9BD5"/>
      </dataBar>
    </cfRule>
  </conditionalFormatting>
  <conditionalFormatting sqref="G13:G17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{DFE77CF6-F128-7E5B-5C58-D010EA2EA09F}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E77CF6-F128-7E5B-5C58-D010EA2EA09F}">
            <x14:dataBar>
              <x14:cfvo type="min"/>
              <x14:cfvo type="max"/>
              <x14:negativeFillColor auto="1"/>
              <x14:axisColor auto="1"/>
            </x14:dataBar>
          </x14:cfRule>
          <xm:sqref>G13:G17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workbookViewId="0">
      <selection sqref="A1:H1"/>
    </sheetView>
  </sheetViews>
  <sheetFormatPr defaultRowHeight="14.4" x14ac:dyDescent="0.3"/>
  <cols>
    <col min="1" max="1" width="22" customWidth="1"/>
    <col min="2" max="2" width="70" customWidth="1"/>
    <col min="4" max="4" width="18" customWidth="1"/>
    <col min="5" max="5" width="42" customWidth="1"/>
    <col min="6" max="6" width="32" customWidth="1"/>
  </cols>
  <sheetData>
    <row r="1" spans="1:11" x14ac:dyDescent="0.3">
      <c r="A1" s="53" t="s">
        <v>20</v>
      </c>
      <c r="B1" s="54"/>
      <c r="C1" s="54"/>
      <c r="D1" s="54"/>
      <c r="E1" s="54"/>
      <c r="F1" s="54"/>
      <c r="G1" s="54"/>
      <c r="H1" s="54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4" t="s">
        <v>21</v>
      </c>
      <c r="B3" s="4" t="s">
        <v>22</v>
      </c>
      <c r="C3" s="1"/>
      <c r="D3" s="4" t="s">
        <v>2</v>
      </c>
      <c r="E3" s="4" t="s">
        <v>23</v>
      </c>
      <c r="F3" s="4" t="s">
        <v>24</v>
      </c>
      <c r="G3" s="1"/>
      <c r="H3" s="1"/>
      <c r="I3" s="1"/>
      <c r="J3" s="1"/>
      <c r="K3" s="1"/>
    </row>
    <row r="4" spans="1:11" x14ac:dyDescent="0.3">
      <c r="A4" s="5" t="s">
        <v>25</v>
      </c>
      <c r="B4" s="5" t="s">
        <v>26</v>
      </c>
      <c r="C4" s="1"/>
      <c r="D4" s="5" t="s">
        <v>5</v>
      </c>
      <c r="E4" s="5" t="s">
        <v>27</v>
      </c>
      <c r="F4" s="5" t="s">
        <v>28</v>
      </c>
      <c r="G4" s="1"/>
      <c r="H4" s="1"/>
      <c r="I4" s="1"/>
      <c r="J4" s="1"/>
      <c r="K4" s="1"/>
    </row>
    <row r="5" spans="1:11" x14ac:dyDescent="0.3">
      <c r="A5" s="5" t="s">
        <v>11</v>
      </c>
      <c r="B5" s="5" t="s">
        <v>29</v>
      </c>
      <c r="C5" s="1"/>
      <c r="D5" s="5" t="s">
        <v>6</v>
      </c>
      <c r="E5" s="5" t="s">
        <v>30</v>
      </c>
      <c r="F5" s="5" t="s">
        <v>31</v>
      </c>
      <c r="G5" s="1"/>
      <c r="H5" s="1"/>
      <c r="I5" s="1"/>
      <c r="J5" s="1"/>
      <c r="K5" s="1"/>
    </row>
    <row r="6" spans="1:11" x14ac:dyDescent="0.3">
      <c r="A6" s="5" t="s">
        <v>32</v>
      </c>
      <c r="B6" s="5" t="s">
        <v>33</v>
      </c>
      <c r="C6" s="1"/>
      <c r="D6" s="5" t="s">
        <v>7</v>
      </c>
      <c r="E6" s="5" t="s">
        <v>34</v>
      </c>
      <c r="F6" s="5" t="s">
        <v>35</v>
      </c>
      <c r="G6" s="1"/>
      <c r="H6" s="1"/>
      <c r="I6" s="1"/>
      <c r="J6" s="1"/>
      <c r="K6" s="1"/>
    </row>
    <row r="7" spans="1:11" x14ac:dyDescent="0.3">
      <c r="A7" s="5" t="s">
        <v>36</v>
      </c>
      <c r="B7" s="5" t="s">
        <v>37</v>
      </c>
      <c r="C7" s="1"/>
      <c r="D7" s="5" t="s">
        <v>8</v>
      </c>
      <c r="E7" s="5" t="s">
        <v>38</v>
      </c>
      <c r="F7" s="5" t="s">
        <v>39</v>
      </c>
      <c r="G7" s="1"/>
      <c r="H7" s="1"/>
      <c r="I7" s="1"/>
      <c r="J7" s="1"/>
      <c r="K7" s="1"/>
    </row>
    <row r="8" spans="1:11" x14ac:dyDescent="0.3">
      <c r="A8" s="5" t="s">
        <v>40</v>
      </c>
      <c r="B8" s="5" t="s">
        <v>41</v>
      </c>
      <c r="C8" s="1"/>
      <c r="D8" s="5" t="s">
        <v>9</v>
      </c>
      <c r="E8" s="5" t="s">
        <v>42</v>
      </c>
      <c r="F8" s="5" t="s">
        <v>43</v>
      </c>
      <c r="G8" s="1"/>
      <c r="H8" s="1"/>
      <c r="I8" s="1"/>
      <c r="J8" s="1"/>
      <c r="K8" s="1"/>
    </row>
    <row r="9" spans="1:11" x14ac:dyDescent="0.3">
      <c r="A9" s="5" t="s">
        <v>44</v>
      </c>
      <c r="B9" s="5" t="s">
        <v>45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5" t="s">
        <v>46</v>
      </c>
      <c r="B10" s="5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5" t="s">
        <v>48</v>
      </c>
      <c r="B11" s="5" t="s">
        <v>49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5" t="s">
        <v>50</v>
      </c>
      <c r="B12" s="5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5" t="s">
        <v>2</v>
      </c>
      <c r="B13" s="5" t="s">
        <v>52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workbookViewId="0"/>
  </sheetViews>
  <sheetFormatPr defaultRowHeight="14.4" x14ac:dyDescent="0.3"/>
  <cols>
    <col min="1" max="5" width="20" customWidth="1"/>
  </cols>
  <sheetData>
    <row r="1" spans="1:12" x14ac:dyDescent="0.3">
      <c r="A1" s="47" t="s">
        <v>2</v>
      </c>
      <c r="B1" s="47" t="s">
        <v>53</v>
      </c>
      <c r="C1" s="49"/>
      <c r="D1" s="47" t="s">
        <v>11</v>
      </c>
      <c r="E1" s="47" t="s">
        <v>2</v>
      </c>
      <c r="F1" s="1"/>
      <c r="G1" s="1"/>
      <c r="H1" s="1"/>
      <c r="I1" s="1"/>
      <c r="J1" s="1"/>
      <c r="K1" s="1"/>
      <c r="L1" s="1"/>
    </row>
    <row r="2" spans="1:12" x14ac:dyDescent="0.3">
      <c r="A2" s="48" t="s">
        <v>8</v>
      </c>
      <c r="B2" s="48" t="s">
        <v>54</v>
      </c>
      <c r="C2" s="46"/>
      <c r="D2" s="48" t="s">
        <v>13</v>
      </c>
      <c r="E2" s="48" t="s">
        <v>55</v>
      </c>
      <c r="F2" s="1"/>
      <c r="G2" s="1"/>
      <c r="H2" s="1"/>
      <c r="I2" s="1"/>
      <c r="J2" s="1"/>
      <c r="K2" s="1"/>
      <c r="L2" s="1"/>
    </row>
    <row r="3" spans="1:12" x14ac:dyDescent="0.3">
      <c r="A3" s="48" t="s">
        <v>5</v>
      </c>
      <c r="B3" s="48" t="s">
        <v>56</v>
      </c>
      <c r="C3" s="46"/>
      <c r="D3" s="48" t="s">
        <v>14</v>
      </c>
      <c r="E3" s="48" t="s">
        <v>57</v>
      </c>
      <c r="F3" s="1"/>
      <c r="G3" s="1"/>
      <c r="H3" s="1"/>
      <c r="I3" s="1"/>
      <c r="J3" s="1"/>
      <c r="K3" s="1"/>
      <c r="L3" s="1"/>
    </row>
    <row r="4" spans="1:12" x14ac:dyDescent="0.3">
      <c r="A4" s="48" t="s">
        <v>6</v>
      </c>
      <c r="B4" s="48" t="s">
        <v>58</v>
      </c>
      <c r="C4" s="46"/>
      <c r="D4" s="48" t="s">
        <v>15</v>
      </c>
      <c r="E4" s="48" t="s">
        <v>59</v>
      </c>
      <c r="F4" s="1"/>
      <c r="G4" s="1"/>
      <c r="H4" s="1"/>
      <c r="I4" s="1"/>
      <c r="J4" s="1"/>
      <c r="K4" s="1"/>
      <c r="L4" s="1"/>
    </row>
    <row r="5" spans="1:12" x14ac:dyDescent="0.3">
      <c r="A5" s="48" t="s">
        <v>7</v>
      </c>
      <c r="B5" s="48" t="s">
        <v>60</v>
      </c>
      <c r="C5" s="46"/>
      <c r="D5" s="48" t="s">
        <v>16</v>
      </c>
      <c r="E5" s="48" t="s">
        <v>61</v>
      </c>
      <c r="F5" s="1"/>
      <c r="G5" s="1"/>
      <c r="H5" s="1"/>
      <c r="I5" s="1"/>
      <c r="J5" s="1"/>
      <c r="K5" s="1"/>
      <c r="L5" s="1"/>
    </row>
    <row r="6" spans="1:12" x14ac:dyDescent="0.3">
      <c r="A6" s="48" t="s">
        <v>9</v>
      </c>
      <c r="B6" s="48"/>
      <c r="C6" s="46"/>
      <c r="D6" s="48"/>
      <c r="E6" s="48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46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46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46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46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46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46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46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46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46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46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46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46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46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46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46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46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46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46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46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46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46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46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46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46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1"/>
      <c r="C31" s="46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1"/>
      <c r="C32" s="46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1"/>
      <c r="C33" s="46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46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46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46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46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46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46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46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46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46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46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46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46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46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46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46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46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46"/>
      <c r="D50" s="1"/>
      <c r="E50" s="1"/>
      <c r="F50" s="1"/>
      <c r="G50" s="1"/>
      <c r="H50" s="1"/>
      <c r="I50" s="1"/>
      <c r="J50" s="1"/>
      <c r="K50" s="1"/>
      <c r="L5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workbookViewId="0">
      <selection sqref="A1:H1"/>
    </sheetView>
  </sheetViews>
  <sheetFormatPr defaultRowHeight="14.4" x14ac:dyDescent="0.3"/>
  <cols>
    <col min="1" max="1" width="26" customWidth="1"/>
    <col min="2" max="2" width="60" customWidth="1"/>
    <col min="3" max="3" width="20" customWidth="1"/>
    <col min="4" max="4" width="45" customWidth="1"/>
  </cols>
  <sheetData>
    <row r="1" spans="1:11" x14ac:dyDescent="0.3">
      <c r="A1" s="53" t="s">
        <v>62</v>
      </c>
      <c r="B1" s="54"/>
      <c r="C1" s="54"/>
      <c r="D1" s="54"/>
      <c r="E1" s="54"/>
      <c r="F1" s="54"/>
      <c r="G1" s="54"/>
      <c r="H1" s="54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4" t="s">
        <v>63</v>
      </c>
      <c r="B3" s="4" t="s">
        <v>64</v>
      </c>
      <c r="C3" s="4" t="s">
        <v>65</v>
      </c>
      <c r="D3" s="4" t="s">
        <v>66</v>
      </c>
      <c r="E3" s="1"/>
      <c r="F3" s="1"/>
      <c r="G3" s="1"/>
      <c r="H3" s="1"/>
      <c r="I3" s="1"/>
      <c r="J3" s="1"/>
      <c r="K3" s="1"/>
    </row>
    <row r="4" spans="1:11" ht="28.8" x14ac:dyDescent="0.3">
      <c r="A4" s="5" t="s">
        <v>67</v>
      </c>
      <c r="B4" s="5" t="s">
        <v>68</v>
      </c>
      <c r="C4" s="5" t="s">
        <v>17</v>
      </c>
      <c r="D4" s="5" t="s">
        <v>69</v>
      </c>
      <c r="E4" s="1"/>
      <c r="F4" s="1"/>
      <c r="G4" s="1"/>
      <c r="H4" s="1"/>
      <c r="I4" s="1"/>
      <c r="J4" s="1"/>
      <c r="K4" s="1"/>
    </row>
    <row r="5" spans="1:11" ht="28.8" x14ac:dyDescent="0.3">
      <c r="A5" s="5" t="s">
        <v>70</v>
      </c>
      <c r="B5" s="5" t="s">
        <v>71</v>
      </c>
      <c r="C5" s="5" t="s">
        <v>72</v>
      </c>
      <c r="D5" s="5" t="s">
        <v>73</v>
      </c>
      <c r="E5" s="1"/>
      <c r="F5" s="1"/>
      <c r="G5" s="1"/>
      <c r="H5" s="1"/>
      <c r="I5" s="1"/>
      <c r="J5" s="1"/>
      <c r="K5" s="1"/>
    </row>
    <row r="6" spans="1:11" ht="28.8" x14ac:dyDescent="0.3">
      <c r="A6" s="5" t="s">
        <v>74</v>
      </c>
      <c r="B6" s="5" t="s">
        <v>75</v>
      </c>
      <c r="C6" s="5" t="s">
        <v>76</v>
      </c>
      <c r="D6" s="5" t="s">
        <v>77</v>
      </c>
      <c r="E6" s="1"/>
      <c r="F6" s="1"/>
      <c r="G6" s="1"/>
      <c r="H6" s="1"/>
      <c r="I6" s="1"/>
      <c r="J6" s="1"/>
      <c r="K6" s="1"/>
    </row>
    <row r="7" spans="1:11" x14ac:dyDescent="0.3">
      <c r="A7" s="5" t="s">
        <v>78</v>
      </c>
      <c r="B7" s="5" t="s">
        <v>79</v>
      </c>
      <c r="C7" s="5" t="s">
        <v>80</v>
      </c>
      <c r="D7" s="5" t="s">
        <v>81</v>
      </c>
      <c r="E7" s="1"/>
      <c r="F7" s="1"/>
      <c r="G7" s="1"/>
      <c r="H7" s="1"/>
      <c r="I7" s="1"/>
      <c r="J7" s="1"/>
      <c r="K7" s="1"/>
    </row>
    <row r="8" spans="1:11" ht="28.8" x14ac:dyDescent="0.3">
      <c r="A8" s="5" t="s">
        <v>82</v>
      </c>
      <c r="B8" s="5" t="s">
        <v>83</v>
      </c>
      <c r="C8" s="5" t="s">
        <v>84</v>
      </c>
      <c r="D8" s="5" t="s">
        <v>85</v>
      </c>
      <c r="E8" s="1"/>
      <c r="F8" s="1"/>
      <c r="G8" s="1"/>
      <c r="H8" s="1"/>
      <c r="I8" s="1"/>
      <c r="J8" s="1"/>
      <c r="K8" s="1"/>
    </row>
    <row r="9" spans="1:11" ht="28.8" x14ac:dyDescent="0.3">
      <c r="A9" s="5" t="s">
        <v>86</v>
      </c>
      <c r="B9" s="5" t="s">
        <v>87</v>
      </c>
      <c r="C9" s="5" t="s">
        <v>88</v>
      </c>
      <c r="D9" s="5" t="s">
        <v>89</v>
      </c>
      <c r="E9" s="1"/>
      <c r="F9" s="1"/>
      <c r="G9" s="1"/>
      <c r="H9" s="1"/>
      <c r="I9" s="1"/>
      <c r="J9" s="1"/>
      <c r="K9" s="1"/>
    </row>
    <row r="10" spans="1:11" ht="28.8" x14ac:dyDescent="0.3">
      <c r="A10" s="5" t="s">
        <v>90</v>
      </c>
      <c r="B10" s="5" t="s">
        <v>91</v>
      </c>
      <c r="C10" s="5" t="s">
        <v>92</v>
      </c>
      <c r="D10" s="5" t="s">
        <v>93</v>
      </c>
      <c r="E10" s="1"/>
      <c r="F10" s="1"/>
      <c r="G10" s="1"/>
      <c r="H10" s="1"/>
      <c r="I10" s="1"/>
      <c r="J10" s="1"/>
      <c r="K10" s="1"/>
    </row>
    <row r="11" spans="1:11" x14ac:dyDescent="0.3">
      <c r="A11" s="5" t="s">
        <v>94</v>
      </c>
      <c r="B11" s="5" t="s">
        <v>95</v>
      </c>
      <c r="C11" s="5" t="s">
        <v>96</v>
      </c>
      <c r="D11" s="5" t="s">
        <v>97</v>
      </c>
      <c r="E11" s="1"/>
      <c r="F11" s="1"/>
      <c r="G11" s="1"/>
      <c r="H11" s="1"/>
      <c r="I11" s="1"/>
      <c r="J11" s="1"/>
      <c r="K11" s="1"/>
    </row>
    <row r="12" spans="1:11" x14ac:dyDescent="0.3">
      <c r="A12" s="5" t="s">
        <v>98</v>
      </c>
      <c r="B12" s="5" t="s">
        <v>99</v>
      </c>
      <c r="C12" s="5" t="s">
        <v>100</v>
      </c>
      <c r="D12" s="5" t="s">
        <v>101</v>
      </c>
      <c r="E12" s="1"/>
      <c r="F12" s="1"/>
      <c r="G12" s="1"/>
      <c r="H12" s="1"/>
      <c r="I12" s="1"/>
      <c r="J12" s="1"/>
      <c r="K12" s="1"/>
    </row>
    <row r="13" spans="1:11" ht="28.8" x14ac:dyDescent="0.3">
      <c r="A13" s="5" t="s">
        <v>102</v>
      </c>
      <c r="B13" s="5" t="s">
        <v>103</v>
      </c>
      <c r="C13" s="5" t="s">
        <v>84</v>
      </c>
      <c r="D13" s="5" t="s">
        <v>104</v>
      </c>
      <c r="E13" s="1"/>
      <c r="F13" s="1"/>
      <c r="G13" s="1"/>
      <c r="H13" s="1"/>
      <c r="I13" s="1"/>
      <c r="J13" s="1"/>
      <c r="K13" s="1"/>
    </row>
    <row r="14" spans="1:11" ht="28.8" x14ac:dyDescent="0.3">
      <c r="A14" s="5" t="s">
        <v>105</v>
      </c>
      <c r="B14" s="5" t="s">
        <v>106</v>
      </c>
      <c r="C14" s="5" t="s">
        <v>100</v>
      </c>
      <c r="D14" s="5" t="s">
        <v>107</v>
      </c>
      <c r="E14" s="1"/>
      <c r="F14" s="1"/>
      <c r="G14" s="1"/>
      <c r="H14" s="1"/>
      <c r="I14" s="1"/>
      <c r="J14" s="1"/>
      <c r="K14" s="1"/>
    </row>
    <row r="15" spans="1:11" ht="28.8" x14ac:dyDescent="0.3">
      <c r="A15" s="5" t="s">
        <v>108</v>
      </c>
      <c r="B15" s="5" t="s">
        <v>109</v>
      </c>
      <c r="C15" s="5" t="s">
        <v>110</v>
      </c>
      <c r="D15" s="5" t="s">
        <v>111</v>
      </c>
      <c r="E15" s="1"/>
      <c r="F15" s="1"/>
      <c r="G15" s="1"/>
      <c r="H15" s="1"/>
      <c r="I15" s="1"/>
      <c r="J15" s="1"/>
      <c r="K15" s="1"/>
    </row>
    <row r="16" spans="1:11" ht="28.8" x14ac:dyDescent="0.3">
      <c r="A16" s="5" t="s">
        <v>112</v>
      </c>
      <c r="B16" s="5" t="s">
        <v>113</v>
      </c>
      <c r="C16" s="5" t="s">
        <v>114</v>
      </c>
      <c r="D16" s="5" t="s">
        <v>115</v>
      </c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"/>
  <sheetViews>
    <sheetView workbookViewId="0">
      <selection activeCell="K3" sqref="K3"/>
    </sheetView>
  </sheetViews>
  <sheetFormatPr defaultRowHeight="14.4" x14ac:dyDescent="0.3"/>
  <cols>
    <col min="1" max="1" width="13" customWidth="1"/>
    <col min="2" max="2" width="10" customWidth="1"/>
    <col min="3" max="3" width="20" customWidth="1"/>
    <col min="4" max="4" width="36" customWidth="1"/>
    <col min="5" max="5" width="32" customWidth="1"/>
    <col min="6" max="6" width="24" customWidth="1"/>
    <col min="7" max="8" width="42" customWidth="1"/>
    <col min="9" max="9" width="28" style="30" customWidth="1"/>
    <col min="10" max="11" width="12" style="30" customWidth="1"/>
    <col min="12" max="12" width="18" style="30" customWidth="1"/>
    <col min="13" max="13" width="14" style="30" customWidth="1"/>
    <col min="14" max="14" width="22" style="30" customWidth="1"/>
    <col min="15" max="15" width="14" style="30" customWidth="1"/>
    <col min="16" max="16" width="28" style="30" customWidth="1"/>
  </cols>
  <sheetData>
    <row r="1" spans="1:16" ht="22.2" customHeight="1" x14ac:dyDescent="0.3">
      <c r="A1" s="53" t="s">
        <v>116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x14ac:dyDescent="0.3">
      <c r="A2" s="31" t="s">
        <v>25</v>
      </c>
      <c r="B2" s="32" t="s">
        <v>11</v>
      </c>
      <c r="C2" s="32" t="s">
        <v>32</v>
      </c>
      <c r="D2" s="32" t="s">
        <v>36</v>
      </c>
      <c r="E2" s="32" t="s">
        <v>40</v>
      </c>
      <c r="F2" s="32" t="s">
        <v>44</v>
      </c>
      <c r="G2" s="32" t="s">
        <v>46</v>
      </c>
      <c r="H2" s="32" t="s">
        <v>48</v>
      </c>
      <c r="I2" s="33" t="s">
        <v>50</v>
      </c>
      <c r="J2" s="33" t="s">
        <v>2</v>
      </c>
      <c r="K2" s="33" t="s">
        <v>53</v>
      </c>
      <c r="L2" s="33" t="s">
        <v>117</v>
      </c>
      <c r="M2" s="33" t="s">
        <v>118</v>
      </c>
      <c r="N2" s="33" t="s">
        <v>119</v>
      </c>
      <c r="O2" s="33" t="s">
        <v>120</v>
      </c>
      <c r="P2" s="34" t="s">
        <v>66</v>
      </c>
    </row>
    <row r="3" spans="1:16" ht="72" x14ac:dyDescent="0.3">
      <c r="A3" s="35" t="s">
        <v>121</v>
      </c>
      <c r="B3" s="36" t="s">
        <v>13</v>
      </c>
      <c r="C3" s="36" t="s">
        <v>122</v>
      </c>
      <c r="D3" s="36" t="s">
        <v>123</v>
      </c>
      <c r="E3" s="36" t="s">
        <v>124</v>
      </c>
      <c r="F3" s="36" t="s">
        <v>125</v>
      </c>
      <c r="G3" s="36" t="s">
        <v>126</v>
      </c>
      <c r="H3" s="36" t="s">
        <v>127</v>
      </c>
      <c r="I3" s="37"/>
      <c r="J3" s="37" t="s">
        <v>8</v>
      </c>
      <c r="K3" s="37" t="s">
        <v>56</v>
      </c>
      <c r="L3" s="37"/>
      <c r="M3" s="37"/>
      <c r="N3" s="37"/>
      <c r="O3" s="37"/>
      <c r="P3" s="38"/>
    </row>
    <row r="4" spans="1:16" ht="28.8" x14ac:dyDescent="0.3">
      <c r="A4" s="35" t="s">
        <v>128</v>
      </c>
      <c r="B4" s="36" t="s">
        <v>13</v>
      </c>
      <c r="C4" s="36" t="s">
        <v>129</v>
      </c>
      <c r="D4" s="36" t="s">
        <v>130</v>
      </c>
      <c r="E4" s="36" t="s">
        <v>131</v>
      </c>
      <c r="F4" s="36" t="s">
        <v>132</v>
      </c>
      <c r="G4" s="36" t="s">
        <v>133</v>
      </c>
      <c r="H4" s="36" t="s">
        <v>134</v>
      </c>
      <c r="I4" s="37"/>
      <c r="J4" s="37" t="s">
        <v>8</v>
      </c>
      <c r="K4" s="37" t="s">
        <v>56</v>
      </c>
      <c r="L4" s="37"/>
      <c r="M4" s="37"/>
      <c r="N4" s="37"/>
      <c r="O4" s="37"/>
      <c r="P4" s="38"/>
    </row>
    <row r="5" spans="1:16" ht="57.6" x14ac:dyDescent="0.3">
      <c r="A5" s="35" t="s">
        <v>135</v>
      </c>
      <c r="B5" s="36" t="s">
        <v>13</v>
      </c>
      <c r="C5" s="36" t="s">
        <v>136</v>
      </c>
      <c r="D5" s="36" t="s">
        <v>137</v>
      </c>
      <c r="E5" s="36" t="s">
        <v>138</v>
      </c>
      <c r="F5" s="36" t="s">
        <v>139</v>
      </c>
      <c r="G5" s="36" t="s">
        <v>140</v>
      </c>
      <c r="H5" s="36" t="s">
        <v>141</v>
      </c>
      <c r="I5" s="37"/>
      <c r="J5" s="37" t="s">
        <v>8</v>
      </c>
      <c r="K5" s="37" t="s">
        <v>56</v>
      </c>
      <c r="L5" s="37"/>
      <c r="M5" s="37"/>
      <c r="N5" s="37"/>
      <c r="O5" s="37"/>
      <c r="P5" s="38"/>
    </row>
    <row r="6" spans="1:16" ht="43.2" x14ac:dyDescent="0.3">
      <c r="A6" s="35" t="s">
        <v>142</v>
      </c>
      <c r="B6" s="36" t="s">
        <v>13</v>
      </c>
      <c r="C6" s="36" t="s">
        <v>136</v>
      </c>
      <c r="D6" s="36" t="s">
        <v>143</v>
      </c>
      <c r="E6" s="36" t="s">
        <v>144</v>
      </c>
      <c r="F6" s="36" t="s">
        <v>145</v>
      </c>
      <c r="G6" s="36" t="s">
        <v>146</v>
      </c>
      <c r="H6" s="36" t="s">
        <v>147</v>
      </c>
      <c r="I6" s="37"/>
      <c r="J6" s="37" t="s">
        <v>8</v>
      </c>
      <c r="K6" s="37" t="s">
        <v>56</v>
      </c>
      <c r="L6" s="37"/>
      <c r="M6" s="37"/>
      <c r="N6" s="37"/>
      <c r="O6" s="37"/>
      <c r="P6" s="38"/>
    </row>
    <row r="7" spans="1:16" ht="57.6" x14ac:dyDescent="0.3">
      <c r="A7" s="35" t="s">
        <v>148</v>
      </c>
      <c r="B7" s="36" t="s">
        <v>13</v>
      </c>
      <c r="C7" s="36" t="s">
        <v>136</v>
      </c>
      <c r="D7" s="36" t="s">
        <v>149</v>
      </c>
      <c r="E7" s="36" t="s">
        <v>150</v>
      </c>
      <c r="F7" s="36" t="s">
        <v>151</v>
      </c>
      <c r="G7" s="36" t="s">
        <v>152</v>
      </c>
      <c r="H7" s="36" t="s">
        <v>153</v>
      </c>
      <c r="I7" s="37"/>
      <c r="J7" s="37" t="s">
        <v>8</v>
      </c>
      <c r="K7" s="37" t="s">
        <v>56</v>
      </c>
      <c r="L7" s="37"/>
      <c r="M7" s="37"/>
      <c r="N7" s="37"/>
      <c r="O7" s="37"/>
      <c r="P7" s="38"/>
    </row>
    <row r="8" spans="1:16" ht="43.2" x14ac:dyDescent="0.3">
      <c r="A8" s="35" t="s">
        <v>154</v>
      </c>
      <c r="B8" s="36" t="s">
        <v>13</v>
      </c>
      <c r="C8" s="36" t="s">
        <v>155</v>
      </c>
      <c r="D8" s="36" t="s">
        <v>156</v>
      </c>
      <c r="E8" s="36" t="s">
        <v>157</v>
      </c>
      <c r="F8" s="36" t="s">
        <v>158</v>
      </c>
      <c r="G8" s="36" t="s">
        <v>159</v>
      </c>
      <c r="H8" s="36" t="s">
        <v>160</v>
      </c>
      <c r="I8" s="37"/>
      <c r="J8" s="37" t="s">
        <v>8</v>
      </c>
      <c r="K8" s="37" t="s">
        <v>56</v>
      </c>
      <c r="L8" s="37"/>
      <c r="M8" s="37"/>
      <c r="N8" s="37"/>
      <c r="O8" s="37"/>
      <c r="P8" s="38"/>
    </row>
    <row r="9" spans="1:16" ht="43.2" x14ac:dyDescent="0.3">
      <c r="A9" s="35" t="s">
        <v>161</v>
      </c>
      <c r="B9" s="36" t="s">
        <v>13</v>
      </c>
      <c r="C9" s="36" t="s">
        <v>162</v>
      </c>
      <c r="D9" s="36" t="s">
        <v>163</v>
      </c>
      <c r="E9" s="36" t="s">
        <v>138</v>
      </c>
      <c r="F9" s="36" t="s">
        <v>164</v>
      </c>
      <c r="G9" s="36" t="s">
        <v>165</v>
      </c>
      <c r="H9" s="36" t="s">
        <v>166</v>
      </c>
      <c r="I9" s="37"/>
      <c r="J9" s="37" t="s">
        <v>8</v>
      </c>
      <c r="K9" s="37" t="s">
        <v>56</v>
      </c>
      <c r="L9" s="37"/>
      <c r="M9" s="37"/>
      <c r="N9" s="37"/>
      <c r="O9" s="37"/>
      <c r="P9" s="38"/>
    </row>
    <row r="10" spans="1:16" ht="43.2" x14ac:dyDescent="0.3">
      <c r="A10" s="35" t="s">
        <v>167</v>
      </c>
      <c r="B10" s="36" t="s">
        <v>13</v>
      </c>
      <c r="C10" s="36" t="s">
        <v>168</v>
      </c>
      <c r="D10" s="36" t="s">
        <v>169</v>
      </c>
      <c r="E10" s="36" t="s">
        <v>170</v>
      </c>
      <c r="F10" s="36" t="s">
        <v>171</v>
      </c>
      <c r="G10" s="36" t="s">
        <v>172</v>
      </c>
      <c r="H10" s="36" t="s">
        <v>173</v>
      </c>
      <c r="I10" s="37"/>
      <c r="J10" s="37" t="s">
        <v>8</v>
      </c>
      <c r="K10" s="37" t="s">
        <v>56</v>
      </c>
      <c r="L10" s="37"/>
      <c r="M10" s="37"/>
      <c r="N10" s="37"/>
      <c r="O10" s="37"/>
      <c r="P10" s="38"/>
    </row>
    <row r="11" spans="1:16" ht="43.2" x14ac:dyDescent="0.3">
      <c r="A11" s="35" t="s">
        <v>174</v>
      </c>
      <c r="B11" s="36" t="s">
        <v>13</v>
      </c>
      <c r="C11" s="36" t="s">
        <v>168</v>
      </c>
      <c r="D11" s="36" t="s">
        <v>175</v>
      </c>
      <c r="E11" s="36" t="s">
        <v>138</v>
      </c>
      <c r="F11" s="36" t="s">
        <v>176</v>
      </c>
      <c r="G11" s="36" t="s">
        <v>177</v>
      </c>
      <c r="H11" s="36" t="s">
        <v>178</v>
      </c>
      <c r="I11" s="37"/>
      <c r="J11" s="37" t="s">
        <v>8</v>
      </c>
      <c r="K11" s="37" t="s">
        <v>56</v>
      </c>
      <c r="L11" s="37"/>
      <c r="M11" s="37"/>
      <c r="N11" s="37"/>
      <c r="O11" s="37"/>
      <c r="P11" s="38"/>
    </row>
    <row r="12" spans="1:16" ht="43.2" x14ac:dyDescent="0.3">
      <c r="A12" s="35" t="s">
        <v>179</v>
      </c>
      <c r="B12" s="36" t="s">
        <v>13</v>
      </c>
      <c r="C12" s="36" t="s">
        <v>180</v>
      </c>
      <c r="D12" s="36" t="s">
        <v>181</v>
      </c>
      <c r="E12" s="36" t="s">
        <v>138</v>
      </c>
      <c r="F12" s="36" t="s">
        <v>182</v>
      </c>
      <c r="G12" s="36" t="s">
        <v>183</v>
      </c>
      <c r="H12" s="36" t="s">
        <v>184</v>
      </c>
      <c r="I12" s="37"/>
      <c r="J12" s="37" t="s">
        <v>8</v>
      </c>
      <c r="K12" s="37" t="s">
        <v>58</v>
      </c>
      <c r="L12" s="37"/>
      <c r="M12" s="37"/>
      <c r="N12" s="37"/>
      <c r="O12" s="37"/>
      <c r="P12" s="38"/>
    </row>
    <row r="13" spans="1:16" ht="43.2" x14ac:dyDescent="0.3">
      <c r="A13" s="35" t="s">
        <v>185</v>
      </c>
      <c r="B13" s="36" t="s">
        <v>13</v>
      </c>
      <c r="C13" s="36" t="s">
        <v>186</v>
      </c>
      <c r="D13" s="36" t="s">
        <v>187</v>
      </c>
      <c r="E13" s="36" t="s">
        <v>138</v>
      </c>
      <c r="F13" s="36" t="s">
        <v>188</v>
      </c>
      <c r="G13" s="36" t="s">
        <v>189</v>
      </c>
      <c r="H13" s="36" t="s">
        <v>190</v>
      </c>
      <c r="I13" s="37"/>
      <c r="J13" s="37" t="s">
        <v>8</v>
      </c>
      <c r="K13" s="37" t="s">
        <v>58</v>
      </c>
      <c r="L13" s="37"/>
      <c r="M13" s="37"/>
      <c r="N13" s="37"/>
      <c r="O13" s="37"/>
      <c r="P13" s="38"/>
    </row>
    <row r="14" spans="1:16" ht="43.2" x14ac:dyDescent="0.3">
      <c r="A14" s="35" t="s">
        <v>191</v>
      </c>
      <c r="B14" s="36" t="s">
        <v>13</v>
      </c>
      <c r="C14" s="36" t="s">
        <v>192</v>
      </c>
      <c r="D14" s="36" t="s">
        <v>193</v>
      </c>
      <c r="E14" s="36" t="s">
        <v>138</v>
      </c>
      <c r="F14" s="36" t="s">
        <v>194</v>
      </c>
      <c r="G14" s="36" t="s">
        <v>195</v>
      </c>
      <c r="H14" s="36" t="s">
        <v>196</v>
      </c>
      <c r="I14" s="37"/>
      <c r="J14" s="37" t="s">
        <v>8</v>
      </c>
      <c r="K14" s="37" t="s">
        <v>58</v>
      </c>
      <c r="L14" s="37"/>
      <c r="M14" s="37"/>
      <c r="N14" s="37"/>
      <c r="O14" s="37"/>
      <c r="P14" s="38"/>
    </row>
    <row r="15" spans="1:16" ht="57.6" x14ac:dyDescent="0.3">
      <c r="A15" s="35" t="s">
        <v>197</v>
      </c>
      <c r="B15" s="36" t="s">
        <v>13</v>
      </c>
      <c r="C15" s="36" t="s">
        <v>198</v>
      </c>
      <c r="D15" s="36" t="s">
        <v>199</v>
      </c>
      <c r="E15" s="36" t="s">
        <v>200</v>
      </c>
      <c r="F15" s="36" t="s">
        <v>201</v>
      </c>
      <c r="G15" s="36" t="s">
        <v>202</v>
      </c>
      <c r="H15" s="36" t="s">
        <v>203</v>
      </c>
      <c r="I15" s="37"/>
      <c r="J15" s="37" t="s">
        <v>8</v>
      </c>
      <c r="K15" s="37" t="s">
        <v>58</v>
      </c>
      <c r="L15" s="37"/>
      <c r="M15" s="37"/>
      <c r="N15" s="37"/>
      <c r="O15" s="37"/>
      <c r="P15" s="38"/>
    </row>
    <row r="16" spans="1:16" ht="57.6" x14ac:dyDescent="0.3">
      <c r="A16" s="35" t="s">
        <v>204</v>
      </c>
      <c r="B16" s="36" t="s">
        <v>13</v>
      </c>
      <c r="C16" s="36" t="s">
        <v>205</v>
      </c>
      <c r="D16" s="36" t="s">
        <v>206</v>
      </c>
      <c r="E16" s="36" t="s">
        <v>207</v>
      </c>
      <c r="F16" s="36" t="s">
        <v>208</v>
      </c>
      <c r="G16" s="36" t="s">
        <v>209</v>
      </c>
      <c r="H16" s="36" t="s">
        <v>210</v>
      </c>
      <c r="I16" s="37"/>
      <c r="J16" s="37" t="s">
        <v>8</v>
      </c>
      <c r="K16" s="37" t="s">
        <v>56</v>
      </c>
      <c r="L16" s="37"/>
      <c r="M16" s="37"/>
      <c r="N16" s="37"/>
      <c r="O16" s="37"/>
      <c r="P16" s="38"/>
    </row>
    <row r="17" spans="1:16" ht="28.8" x14ac:dyDescent="0.3">
      <c r="A17" s="35" t="s">
        <v>211</v>
      </c>
      <c r="B17" s="36" t="s">
        <v>13</v>
      </c>
      <c r="C17" s="36" t="s">
        <v>212</v>
      </c>
      <c r="D17" s="36" t="s">
        <v>213</v>
      </c>
      <c r="E17" s="36" t="s">
        <v>214</v>
      </c>
      <c r="F17" s="36" t="s">
        <v>215</v>
      </c>
      <c r="G17" s="36" t="s">
        <v>216</v>
      </c>
      <c r="H17" s="36" t="s">
        <v>217</v>
      </c>
      <c r="I17" s="37"/>
      <c r="J17" s="37" t="s">
        <v>8</v>
      </c>
      <c r="K17" s="37" t="s">
        <v>56</v>
      </c>
      <c r="L17" s="37"/>
      <c r="M17" s="37"/>
      <c r="N17" s="37"/>
      <c r="O17" s="37"/>
      <c r="P17" s="38"/>
    </row>
    <row r="18" spans="1:16" ht="57.6" x14ac:dyDescent="0.3">
      <c r="A18" s="35" t="s">
        <v>218</v>
      </c>
      <c r="B18" s="36" t="s">
        <v>13</v>
      </c>
      <c r="C18" s="36" t="s">
        <v>212</v>
      </c>
      <c r="D18" s="36" t="s">
        <v>219</v>
      </c>
      <c r="E18" s="36" t="s">
        <v>220</v>
      </c>
      <c r="F18" s="36" t="s">
        <v>221</v>
      </c>
      <c r="G18" s="36" t="s">
        <v>222</v>
      </c>
      <c r="H18" s="36" t="s">
        <v>223</v>
      </c>
      <c r="I18" s="37"/>
      <c r="J18" s="37" t="s">
        <v>8</v>
      </c>
      <c r="K18" s="37" t="s">
        <v>56</v>
      </c>
      <c r="L18" s="37"/>
      <c r="M18" s="37"/>
      <c r="N18" s="37"/>
      <c r="O18" s="37"/>
      <c r="P18" s="38"/>
    </row>
    <row r="19" spans="1:16" ht="43.2" x14ac:dyDescent="0.3">
      <c r="A19" s="35" t="s">
        <v>224</v>
      </c>
      <c r="B19" s="36" t="s">
        <v>13</v>
      </c>
      <c r="C19" s="36" t="s">
        <v>212</v>
      </c>
      <c r="D19" s="36" t="s">
        <v>225</v>
      </c>
      <c r="E19" s="36" t="s">
        <v>226</v>
      </c>
      <c r="F19" s="36" t="s">
        <v>227</v>
      </c>
      <c r="G19" s="36" t="s">
        <v>228</v>
      </c>
      <c r="H19" s="36" t="s">
        <v>229</v>
      </c>
      <c r="I19" s="37"/>
      <c r="J19" s="37" t="s">
        <v>8</v>
      </c>
      <c r="K19" s="37" t="s">
        <v>56</v>
      </c>
      <c r="L19" s="37"/>
      <c r="M19" s="37"/>
      <c r="N19" s="37"/>
      <c r="O19" s="37"/>
      <c r="P19" s="38"/>
    </row>
    <row r="20" spans="1:16" ht="43.2" x14ac:dyDescent="0.3">
      <c r="A20" s="35" t="s">
        <v>230</v>
      </c>
      <c r="B20" s="36" t="s">
        <v>13</v>
      </c>
      <c r="C20" s="36" t="s">
        <v>231</v>
      </c>
      <c r="D20" s="36" t="s">
        <v>232</v>
      </c>
      <c r="E20" s="36" t="s">
        <v>138</v>
      </c>
      <c r="F20" s="36" t="s">
        <v>233</v>
      </c>
      <c r="G20" s="36" t="s">
        <v>234</v>
      </c>
      <c r="H20" s="36" t="s">
        <v>235</v>
      </c>
      <c r="I20" s="37"/>
      <c r="J20" s="37" t="s">
        <v>8</v>
      </c>
      <c r="K20" s="37" t="s">
        <v>58</v>
      </c>
      <c r="L20" s="37"/>
      <c r="M20" s="37"/>
      <c r="N20" s="37"/>
      <c r="O20" s="37"/>
      <c r="P20" s="38"/>
    </row>
    <row r="21" spans="1:16" ht="43.2" x14ac:dyDescent="0.3">
      <c r="A21" s="35" t="s">
        <v>236</v>
      </c>
      <c r="B21" s="36" t="s">
        <v>13</v>
      </c>
      <c r="C21" s="36" t="s">
        <v>237</v>
      </c>
      <c r="D21" s="36" t="s">
        <v>238</v>
      </c>
      <c r="E21" s="36" t="s">
        <v>138</v>
      </c>
      <c r="F21" s="36" t="s">
        <v>239</v>
      </c>
      <c r="G21" s="36" t="s">
        <v>240</v>
      </c>
      <c r="H21" s="36" t="s">
        <v>241</v>
      </c>
      <c r="I21" s="37"/>
      <c r="J21" s="37" t="s">
        <v>8</v>
      </c>
      <c r="K21" s="37" t="s">
        <v>58</v>
      </c>
      <c r="L21" s="37"/>
      <c r="M21" s="37"/>
      <c r="N21" s="37"/>
      <c r="O21" s="37"/>
      <c r="P21" s="38"/>
    </row>
    <row r="22" spans="1:16" ht="43.2" x14ac:dyDescent="0.3">
      <c r="A22" s="35" t="s">
        <v>242</v>
      </c>
      <c r="B22" s="36" t="s">
        <v>13</v>
      </c>
      <c r="C22" s="36" t="s">
        <v>243</v>
      </c>
      <c r="D22" s="36" t="s">
        <v>244</v>
      </c>
      <c r="E22" s="36" t="s">
        <v>245</v>
      </c>
      <c r="F22" s="36" t="s">
        <v>246</v>
      </c>
      <c r="G22" s="36" t="s">
        <v>247</v>
      </c>
      <c r="H22" s="36" t="s">
        <v>248</v>
      </c>
      <c r="I22" s="37"/>
      <c r="J22" s="37" t="s">
        <v>8</v>
      </c>
      <c r="K22" s="37" t="s">
        <v>58</v>
      </c>
      <c r="L22" s="37"/>
      <c r="M22" s="37"/>
      <c r="N22" s="37"/>
      <c r="O22" s="37"/>
      <c r="P22" s="38"/>
    </row>
    <row r="23" spans="1:16" ht="28.8" x14ac:dyDescent="0.3">
      <c r="A23" s="35" t="s">
        <v>249</v>
      </c>
      <c r="B23" s="36" t="s">
        <v>13</v>
      </c>
      <c r="C23" s="36" t="s">
        <v>250</v>
      </c>
      <c r="D23" s="36" t="s">
        <v>251</v>
      </c>
      <c r="E23" s="36" t="s">
        <v>252</v>
      </c>
      <c r="F23" s="36" t="s">
        <v>253</v>
      </c>
      <c r="G23" s="36" t="s">
        <v>254</v>
      </c>
      <c r="H23" s="36" t="s">
        <v>255</v>
      </c>
      <c r="I23" s="37"/>
      <c r="J23" s="37" t="s">
        <v>8</v>
      </c>
      <c r="K23" s="37" t="s">
        <v>56</v>
      </c>
      <c r="L23" s="37"/>
      <c r="M23" s="37"/>
      <c r="N23" s="37"/>
      <c r="O23" s="37"/>
      <c r="P23" s="38"/>
    </row>
    <row r="24" spans="1:16" ht="43.2" x14ac:dyDescent="0.3">
      <c r="A24" s="35" t="s">
        <v>256</v>
      </c>
      <c r="B24" s="36" t="s">
        <v>13</v>
      </c>
      <c r="C24" s="36" t="s">
        <v>257</v>
      </c>
      <c r="D24" s="36" t="s">
        <v>258</v>
      </c>
      <c r="E24" s="36" t="s">
        <v>259</v>
      </c>
      <c r="F24" s="36" t="s">
        <v>260</v>
      </c>
      <c r="G24" s="36" t="s">
        <v>261</v>
      </c>
      <c r="H24" s="36" t="s">
        <v>262</v>
      </c>
      <c r="I24" s="37"/>
      <c r="J24" s="37" t="s">
        <v>8</v>
      </c>
      <c r="K24" s="37" t="s">
        <v>56</v>
      </c>
      <c r="L24" s="37"/>
      <c r="M24" s="37"/>
      <c r="N24" s="37"/>
      <c r="O24" s="37"/>
      <c r="P24" s="38"/>
    </row>
    <row r="25" spans="1:16" ht="28.8" x14ac:dyDescent="0.3">
      <c r="A25" s="35" t="s">
        <v>263</v>
      </c>
      <c r="B25" s="36" t="s">
        <v>13</v>
      </c>
      <c r="C25" s="36" t="s">
        <v>264</v>
      </c>
      <c r="D25" s="36" t="s">
        <v>265</v>
      </c>
      <c r="E25" s="36" t="s">
        <v>266</v>
      </c>
      <c r="F25" s="36" t="s">
        <v>267</v>
      </c>
      <c r="G25" s="36" t="s">
        <v>268</v>
      </c>
      <c r="H25" s="36" t="s">
        <v>269</v>
      </c>
      <c r="I25" s="37"/>
      <c r="J25" s="37" t="s">
        <v>8</v>
      </c>
      <c r="K25" s="37" t="s">
        <v>58</v>
      </c>
      <c r="L25" s="37"/>
      <c r="M25" s="37"/>
      <c r="N25" s="37"/>
      <c r="O25" s="37"/>
      <c r="P25" s="38"/>
    </row>
    <row r="26" spans="1:16" ht="28.8" x14ac:dyDescent="0.3">
      <c r="A26" s="35" t="s">
        <v>270</v>
      </c>
      <c r="B26" s="36" t="s">
        <v>13</v>
      </c>
      <c r="C26" s="36" t="s">
        <v>271</v>
      </c>
      <c r="D26" s="36" t="s">
        <v>272</v>
      </c>
      <c r="E26" s="36" t="s">
        <v>273</v>
      </c>
      <c r="F26" s="36" t="s">
        <v>274</v>
      </c>
      <c r="G26" s="36" t="s">
        <v>275</v>
      </c>
      <c r="H26" s="36" t="s">
        <v>276</v>
      </c>
      <c r="I26" s="37"/>
      <c r="J26" s="37" t="s">
        <v>8</v>
      </c>
      <c r="K26" s="37" t="s">
        <v>58</v>
      </c>
      <c r="L26" s="37"/>
      <c r="M26" s="37"/>
      <c r="N26" s="37"/>
      <c r="O26" s="37"/>
      <c r="P26" s="38"/>
    </row>
    <row r="27" spans="1:16" ht="43.2" x14ac:dyDescent="0.3">
      <c r="A27" s="35" t="s">
        <v>277</v>
      </c>
      <c r="B27" s="36" t="s">
        <v>13</v>
      </c>
      <c r="C27" s="36" t="s">
        <v>278</v>
      </c>
      <c r="D27" s="36" t="s">
        <v>279</v>
      </c>
      <c r="E27" s="36" t="s">
        <v>280</v>
      </c>
      <c r="F27" s="36" t="s">
        <v>281</v>
      </c>
      <c r="G27" s="36" t="s">
        <v>282</v>
      </c>
      <c r="H27" s="36" t="s">
        <v>283</v>
      </c>
      <c r="I27" s="37"/>
      <c r="J27" s="37" t="s">
        <v>8</v>
      </c>
      <c r="K27" s="37" t="s">
        <v>58</v>
      </c>
      <c r="L27" s="37"/>
      <c r="M27" s="37"/>
      <c r="N27" s="37"/>
      <c r="O27" s="37"/>
      <c r="P27" s="38"/>
    </row>
    <row r="28" spans="1:16" ht="28.8" x14ac:dyDescent="0.3">
      <c r="A28" s="35" t="s">
        <v>284</v>
      </c>
      <c r="B28" s="36" t="s">
        <v>13</v>
      </c>
      <c r="C28" s="36" t="s">
        <v>285</v>
      </c>
      <c r="D28" s="36" t="s">
        <v>286</v>
      </c>
      <c r="E28" s="36" t="s">
        <v>287</v>
      </c>
      <c r="F28" s="36" t="s">
        <v>288</v>
      </c>
      <c r="G28" s="36" t="s">
        <v>289</v>
      </c>
      <c r="H28" s="36" t="s">
        <v>290</v>
      </c>
      <c r="I28" s="37"/>
      <c r="J28" s="37" t="s">
        <v>8</v>
      </c>
      <c r="K28" s="37" t="s">
        <v>56</v>
      </c>
      <c r="L28" s="37"/>
      <c r="M28" s="37"/>
      <c r="N28" s="37"/>
      <c r="O28" s="37"/>
      <c r="P28" s="38"/>
    </row>
    <row r="29" spans="1:16" ht="43.2" x14ac:dyDescent="0.3">
      <c r="A29" s="35" t="s">
        <v>291</v>
      </c>
      <c r="B29" s="36" t="s">
        <v>13</v>
      </c>
      <c r="C29" s="36" t="s">
        <v>292</v>
      </c>
      <c r="D29" s="36" t="s">
        <v>293</v>
      </c>
      <c r="E29" s="36" t="s">
        <v>138</v>
      </c>
      <c r="F29" s="36" t="s">
        <v>294</v>
      </c>
      <c r="G29" s="36" t="s">
        <v>295</v>
      </c>
      <c r="H29" s="36" t="s">
        <v>296</v>
      </c>
      <c r="I29" s="37"/>
      <c r="J29" s="37" t="s">
        <v>8</v>
      </c>
      <c r="K29" s="37" t="s">
        <v>60</v>
      </c>
      <c r="L29" s="37"/>
      <c r="M29" s="37"/>
      <c r="N29" s="37"/>
      <c r="O29" s="37"/>
      <c r="P29" s="38"/>
    </row>
    <row r="30" spans="1:16" ht="28.8" x14ac:dyDescent="0.3">
      <c r="A30" s="35" t="s">
        <v>297</v>
      </c>
      <c r="B30" s="36" t="s">
        <v>13</v>
      </c>
      <c r="C30" s="36" t="s">
        <v>298</v>
      </c>
      <c r="D30" s="36" t="s">
        <v>299</v>
      </c>
      <c r="E30" s="36" t="s">
        <v>280</v>
      </c>
      <c r="F30" s="36" t="s">
        <v>300</v>
      </c>
      <c r="G30" s="36" t="s">
        <v>301</v>
      </c>
      <c r="H30" s="36" t="s">
        <v>302</v>
      </c>
      <c r="I30" s="37"/>
      <c r="J30" s="37" t="s">
        <v>8</v>
      </c>
      <c r="K30" s="37" t="s">
        <v>58</v>
      </c>
      <c r="L30" s="37"/>
      <c r="M30" s="37"/>
      <c r="N30" s="37"/>
      <c r="O30" s="37"/>
      <c r="P30" s="38"/>
    </row>
    <row r="31" spans="1:16" ht="28.8" x14ac:dyDescent="0.3">
      <c r="A31" s="39" t="s">
        <v>303</v>
      </c>
      <c r="B31" s="40" t="s">
        <v>13</v>
      </c>
      <c r="C31" s="40" t="s">
        <v>304</v>
      </c>
      <c r="D31" s="40" t="s">
        <v>305</v>
      </c>
      <c r="E31" s="40" t="s">
        <v>138</v>
      </c>
      <c r="F31" s="40" t="s">
        <v>300</v>
      </c>
      <c r="G31" s="40" t="s">
        <v>306</v>
      </c>
      <c r="H31" s="40" t="s">
        <v>307</v>
      </c>
      <c r="I31" s="41"/>
      <c r="J31" s="41" t="s">
        <v>8</v>
      </c>
      <c r="K31" s="41" t="s">
        <v>60</v>
      </c>
      <c r="L31" s="41"/>
      <c r="M31" s="41"/>
      <c r="N31" s="41"/>
      <c r="O31" s="41"/>
      <c r="P31" s="42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6"/>
      <c r="J32" s="6"/>
      <c r="K32" s="6"/>
      <c r="L32" s="6"/>
      <c r="M32" s="6"/>
      <c r="N32" s="6"/>
      <c r="O32" s="6"/>
      <c r="P32" s="6"/>
    </row>
  </sheetData>
  <mergeCells count="1">
    <mergeCell ref="A1:P1"/>
  </mergeCells>
  <conditionalFormatting sqref="J3:J31">
    <cfRule type="expression" dxfId="27" priority="1">
      <formula>J3="Pass"</formula>
    </cfRule>
    <cfRule type="expression" dxfId="26" priority="2">
      <formula>J3="Fail"</formula>
    </cfRule>
    <cfRule type="expression" dxfId="25" priority="3">
      <formula>J3="Blocked"</formula>
    </cfRule>
  </conditionalFormatting>
  <conditionalFormatting sqref="J3:J997">
    <cfRule type="expression" dxfId="24" priority="4">
      <formula>J3="Pass"</formula>
    </cfRule>
    <cfRule type="expression" dxfId="23" priority="5">
      <formula>J3="Fail"</formula>
    </cfRule>
    <cfRule type="expression" dxfId="22" priority="6">
      <formula>J3="Blocked"</formula>
    </cfRule>
    <cfRule type="expression" dxfId="21" priority="7">
      <formula>J3="Not Run"</formula>
    </cfRule>
  </conditionalFormatting>
  <dataValidations count="3">
    <dataValidation type="list" sqref="J3:J497" xr:uid="{00000000-0002-0000-0400-000000000000}">
      <formula1>"Not Run,Pass,Fail,Blocked,N/A"</formula1>
    </dataValidation>
    <dataValidation type="list" sqref="K3:K497" xr:uid="{00000000-0002-0000-0400-000001000000}">
      <formula1>"Critical,High,Medium,Low"</formula1>
    </dataValidation>
    <dataValidation type="list" sqref="B3:B497" xr:uid="{00000000-0002-0000-0400-000002000000}">
      <formula1>"ADMIN,CANTEEN,VENDOR,USER"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"/>
  <sheetViews>
    <sheetView workbookViewId="0">
      <selection sqref="A1:P1"/>
    </sheetView>
  </sheetViews>
  <sheetFormatPr defaultRowHeight="14.4" x14ac:dyDescent="0.3"/>
  <cols>
    <col min="1" max="1" width="13" customWidth="1"/>
    <col min="2" max="2" width="10" customWidth="1"/>
    <col min="3" max="3" width="20" customWidth="1"/>
    <col min="4" max="4" width="36" customWidth="1"/>
    <col min="5" max="5" width="32" customWidth="1"/>
    <col min="6" max="6" width="24" customWidth="1"/>
    <col min="7" max="8" width="42" customWidth="1"/>
    <col min="9" max="9" width="28" customWidth="1"/>
    <col min="10" max="11" width="12" customWidth="1"/>
    <col min="12" max="12" width="18" customWidth="1"/>
    <col min="13" max="13" width="14" customWidth="1"/>
    <col min="14" max="14" width="22" customWidth="1"/>
    <col min="15" max="15" width="14" customWidth="1"/>
    <col min="16" max="16" width="28" customWidth="1"/>
  </cols>
  <sheetData>
    <row r="1" spans="1:16" ht="26.4" customHeight="1" x14ac:dyDescent="0.3">
      <c r="A1" s="53" t="s">
        <v>308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x14ac:dyDescent="0.3">
      <c r="A2" s="3" t="s">
        <v>25</v>
      </c>
      <c r="B2" s="3" t="s">
        <v>11</v>
      </c>
      <c r="C2" s="3" t="s">
        <v>32</v>
      </c>
      <c r="D2" s="3" t="s">
        <v>36</v>
      </c>
      <c r="E2" s="3" t="s">
        <v>40</v>
      </c>
      <c r="F2" s="3" t="s">
        <v>44</v>
      </c>
      <c r="G2" s="3" t="s">
        <v>46</v>
      </c>
      <c r="H2" s="3" t="s">
        <v>48</v>
      </c>
      <c r="I2" s="3" t="s">
        <v>50</v>
      </c>
      <c r="J2" s="3" t="s">
        <v>2</v>
      </c>
      <c r="K2" s="3" t="s">
        <v>53</v>
      </c>
      <c r="L2" s="3" t="s">
        <v>117</v>
      </c>
      <c r="M2" s="3" t="s">
        <v>118</v>
      </c>
      <c r="N2" s="3" t="s">
        <v>119</v>
      </c>
      <c r="O2" s="3" t="s">
        <v>120</v>
      </c>
      <c r="P2" s="3" t="s">
        <v>66</v>
      </c>
    </row>
    <row r="3" spans="1:16" ht="43.2" x14ac:dyDescent="0.3">
      <c r="A3" s="36" t="s">
        <v>309</v>
      </c>
      <c r="B3" s="36" t="s">
        <v>14</v>
      </c>
      <c r="C3" s="36" t="s">
        <v>122</v>
      </c>
      <c r="D3" s="36" t="s">
        <v>310</v>
      </c>
      <c r="E3" s="36" t="s">
        <v>311</v>
      </c>
      <c r="F3" s="36" t="s">
        <v>312</v>
      </c>
      <c r="G3" s="36" t="s">
        <v>313</v>
      </c>
      <c r="H3" s="36" t="s">
        <v>314</v>
      </c>
      <c r="I3" s="36"/>
      <c r="J3" s="36" t="s">
        <v>8</v>
      </c>
      <c r="K3" s="36" t="s">
        <v>56</v>
      </c>
      <c r="L3" s="36"/>
      <c r="M3" s="36"/>
      <c r="N3" s="36"/>
      <c r="O3" s="36"/>
      <c r="P3" s="36"/>
    </row>
    <row r="4" spans="1:16" ht="28.8" x14ac:dyDescent="0.3">
      <c r="A4" s="36" t="s">
        <v>315</v>
      </c>
      <c r="B4" s="36" t="s">
        <v>14</v>
      </c>
      <c r="C4" s="36" t="s">
        <v>316</v>
      </c>
      <c r="D4" s="36" t="s">
        <v>317</v>
      </c>
      <c r="E4" s="36" t="s">
        <v>318</v>
      </c>
      <c r="F4" s="36" t="s">
        <v>319</v>
      </c>
      <c r="G4" s="36" t="s">
        <v>320</v>
      </c>
      <c r="H4" s="36" t="s">
        <v>321</v>
      </c>
      <c r="I4" s="36"/>
      <c r="J4" s="36" t="s">
        <v>8</v>
      </c>
      <c r="K4" s="36" t="s">
        <v>56</v>
      </c>
      <c r="L4" s="36"/>
      <c r="M4" s="36"/>
      <c r="N4" s="36"/>
      <c r="O4" s="36"/>
      <c r="P4" s="36"/>
    </row>
    <row r="5" spans="1:16" ht="57.6" x14ac:dyDescent="0.3">
      <c r="A5" s="36" t="s">
        <v>322</v>
      </c>
      <c r="B5" s="36" t="s">
        <v>14</v>
      </c>
      <c r="C5" s="36" t="s">
        <v>323</v>
      </c>
      <c r="D5" s="36" t="s">
        <v>324</v>
      </c>
      <c r="E5" s="36" t="s">
        <v>325</v>
      </c>
      <c r="F5" s="36" t="s">
        <v>326</v>
      </c>
      <c r="G5" s="36" t="s">
        <v>327</v>
      </c>
      <c r="H5" s="36" t="s">
        <v>328</v>
      </c>
      <c r="I5" s="36"/>
      <c r="J5" s="36" t="s">
        <v>8</v>
      </c>
      <c r="K5" s="36" t="s">
        <v>56</v>
      </c>
      <c r="L5" s="36"/>
      <c r="M5" s="36"/>
      <c r="N5" s="36"/>
      <c r="O5" s="36"/>
      <c r="P5" s="36"/>
    </row>
    <row r="6" spans="1:16" ht="28.8" x14ac:dyDescent="0.3">
      <c r="A6" s="36" t="s">
        <v>329</v>
      </c>
      <c r="B6" s="36" t="s">
        <v>14</v>
      </c>
      <c r="C6" s="36" t="s">
        <v>330</v>
      </c>
      <c r="D6" s="36" t="s">
        <v>331</v>
      </c>
      <c r="E6" s="36" t="s">
        <v>332</v>
      </c>
      <c r="F6" s="36" t="s">
        <v>333</v>
      </c>
      <c r="G6" s="36" t="s">
        <v>334</v>
      </c>
      <c r="H6" s="36" t="s">
        <v>335</v>
      </c>
      <c r="I6" s="36"/>
      <c r="J6" s="36" t="s">
        <v>8</v>
      </c>
      <c r="K6" s="36" t="s">
        <v>56</v>
      </c>
      <c r="L6" s="36"/>
      <c r="M6" s="36"/>
      <c r="N6" s="36"/>
      <c r="O6" s="36"/>
      <c r="P6" s="36"/>
    </row>
    <row r="7" spans="1:16" ht="28.8" x14ac:dyDescent="0.3">
      <c r="A7" s="36" t="s">
        <v>336</v>
      </c>
      <c r="B7" s="36" t="s">
        <v>14</v>
      </c>
      <c r="C7" s="36" t="s">
        <v>330</v>
      </c>
      <c r="D7" s="36" t="s">
        <v>337</v>
      </c>
      <c r="E7" s="36" t="s">
        <v>338</v>
      </c>
      <c r="F7" s="36" t="s">
        <v>339</v>
      </c>
      <c r="G7" s="36" t="s">
        <v>340</v>
      </c>
      <c r="H7" s="36" t="s">
        <v>341</v>
      </c>
      <c r="I7" s="36"/>
      <c r="J7" s="36" t="s">
        <v>8</v>
      </c>
      <c r="K7" s="36" t="s">
        <v>56</v>
      </c>
      <c r="L7" s="36"/>
      <c r="M7" s="36"/>
      <c r="N7" s="36"/>
      <c r="O7" s="36"/>
      <c r="P7" s="36"/>
    </row>
    <row r="8" spans="1:16" ht="28.8" x14ac:dyDescent="0.3">
      <c r="A8" s="36" t="s">
        <v>342</v>
      </c>
      <c r="B8" s="36" t="s">
        <v>14</v>
      </c>
      <c r="C8" s="36" t="s">
        <v>330</v>
      </c>
      <c r="D8" s="36" t="s">
        <v>343</v>
      </c>
      <c r="E8" s="36" t="s">
        <v>344</v>
      </c>
      <c r="F8" s="36" t="s">
        <v>345</v>
      </c>
      <c r="G8" s="36" t="s">
        <v>346</v>
      </c>
      <c r="H8" s="36" t="s">
        <v>347</v>
      </c>
      <c r="I8" s="36"/>
      <c r="J8" s="36" t="s">
        <v>8</v>
      </c>
      <c r="K8" s="36" t="s">
        <v>56</v>
      </c>
      <c r="L8" s="36"/>
      <c r="M8" s="36"/>
      <c r="N8" s="36"/>
      <c r="O8" s="36"/>
      <c r="P8" s="36"/>
    </row>
    <row r="9" spans="1:16" ht="28.8" x14ac:dyDescent="0.3">
      <c r="A9" s="36" t="s">
        <v>348</v>
      </c>
      <c r="B9" s="36" t="s">
        <v>14</v>
      </c>
      <c r="C9" s="36" t="s">
        <v>330</v>
      </c>
      <c r="D9" s="36" t="s">
        <v>349</v>
      </c>
      <c r="E9" s="36" t="s">
        <v>350</v>
      </c>
      <c r="F9" s="36" t="s">
        <v>351</v>
      </c>
      <c r="G9" s="36" t="s">
        <v>352</v>
      </c>
      <c r="H9" s="36" t="s">
        <v>353</v>
      </c>
      <c r="I9" s="36"/>
      <c r="J9" s="36" t="s">
        <v>8</v>
      </c>
      <c r="K9" s="36" t="s">
        <v>56</v>
      </c>
      <c r="L9" s="36"/>
      <c r="M9" s="36"/>
      <c r="N9" s="36"/>
      <c r="O9" s="36"/>
      <c r="P9" s="36"/>
    </row>
    <row r="10" spans="1:16" ht="28.8" x14ac:dyDescent="0.3">
      <c r="A10" s="36" t="s">
        <v>354</v>
      </c>
      <c r="B10" s="36" t="s">
        <v>14</v>
      </c>
      <c r="C10" s="36" t="s">
        <v>330</v>
      </c>
      <c r="D10" s="36" t="s">
        <v>355</v>
      </c>
      <c r="E10" s="36" t="s">
        <v>356</v>
      </c>
      <c r="F10" s="36" t="s">
        <v>357</v>
      </c>
      <c r="G10" s="36" t="s">
        <v>358</v>
      </c>
      <c r="H10" s="36" t="s">
        <v>359</v>
      </c>
      <c r="I10" s="36"/>
      <c r="J10" s="36" t="s">
        <v>8</v>
      </c>
      <c r="K10" s="36" t="s">
        <v>56</v>
      </c>
      <c r="L10" s="36"/>
      <c r="M10" s="36"/>
      <c r="N10" s="36"/>
      <c r="O10" s="36"/>
      <c r="P10" s="36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conditionalFormatting sqref="J3:J10">
    <cfRule type="expression" dxfId="20" priority="1">
      <formula>J3="Pass"</formula>
    </cfRule>
    <cfRule type="expression" dxfId="19" priority="2">
      <formula>J3="Fail"</formula>
    </cfRule>
    <cfRule type="expression" dxfId="18" priority="3">
      <formula>J3="Blocked"</formula>
    </cfRule>
  </conditionalFormatting>
  <conditionalFormatting sqref="J3:J995">
    <cfRule type="expression" dxfId="17" priority="4">
      <formula>J3="Pass"</formula>
    </cfRule>
    <cfRule type="expression" dxfId="16" priority="5">
      <formula>J3="Fail"</formula>
    </cfRule>
    <cfRule type="expression" dxfId="15" priority="6">
      <formula>J3="Blocked"</formula>
    </cfRule>
    <cfRule type="expression" dxfId="14" priority="7">
      <formula>J3="Not Run"</formula>
    </cfRule>
  </conditionalFormatting>
  <dataValidations count="3">
    <dataValidation type="list" sqref="J3:J495" xr:uid="{00000000-0002-0000-0500-000000000000}">
      <formula1>"Not Run,Pass,Fail,Blocked,N/A"</formula1>
    </dataValidation>
    <dataValidation type="list" sqref="K3:K495" xr:uid="{00000000-0002-0000-0500-000001000000}">
      <formula1>"Critical,High,Medium,Low"</formula1>
    </dataValidation>
    <dataValidation type="list" sqref="B3:B495" xr:uid="{00000000-0002-0000-0500-000002000000}">
      <formula1>"ADMIN,CANTEEN,VENDOR,USER"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workbookViewId="0">
      <selection sqref="A1:P1"/>
    </sheetView>
  </sheetViews>
  <sheetFormatPr defaultRowHeight="14.4" x14ac:dyDescent="0.3"/>
  <cols>
    <col min="1" max="1" width="13" customWidth="1"/>
    <col min="2" max="2" width="10" customWidth="1"/>
    <col min="3" max="3" width="20" customWidth="1"/>
    <col min="4" max="4" width="36" customWidth="1"/>
    <col min="5" max="5" width="32" customWidth="1"/>
    <col min="6" max="6" width="24" customWidth="1"/>
    <col min="7" max="8" width="42" customWidth="1"/>
    <col min="9" max="9" width="28" customWidth="1"/>
    <col min="10" max="11" width="12" customWidth="1"/>
    <col min="12" max="12" width="18" customWidth="1"/>
    <col min="13" max="13" width="14" customWidth="1"/>
    <col min="14" max="14" width="22" customWidth="1"/>
    <col min="15" max="15" width="14" customWidth="1"/>
    <col min="16" max="16" width="28" customWidth="1"/>
  </cols>
  <sheetData>
    <row r="1" spans="1:16" ht="33.6" customHeight="1" x14ac:dyDescent="0.3">
      <c r="A1" s="53" t="s">
        <v>360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x14ac:dyDescent="0.3">
      <c r="A2" s="31" t="s">
        <v>25</v>
      </c>
      <c r="B2" s="32" t="s">
        <v>11</v>
      </c>
      <c r="C2" s="32" t="s">
        <v>32</v>
      </c>
      <c r="D2" s="32" t="s">
        <v>36</v>
      </c>
      <c r="E2" s="32" t="s">
        <v>40</v>
      </c>
      <c r="F2" s="32" t="s">
        <v>44</v>
      </c>
      <c r="G2" s="32" t="s">
        <v>46</v>
      </c>
      <c r="H2" s="32" t="s">
        <v>48</v>
      </c>
      <c r="I2" s="32" t="s">
        <v>50</v>
      </c>
      <c r="J2" s="32" t="s">
        <v>2</v>
      </c>
      <c r="K2" s="32" t="s">
        <v>53</v>
      </c>
      <c r="L2" s="32" t="s">
        <v>117</v>
      </c>
      <c r="M2" s="32" t="s">
        <v>118</v>
      </c>
      <c r="N2" s="32" t="s">
        <v>119</v>
      </c>
      <c r="O2" s="32" t="s">
        <v>120</v>
      </c>
      <c r="P2" s="43" t="s">
        <v>66</v>
      </c>
    </row>
    <row r="3" spans="1:16" ht="28.8" x14ac:dyDescent="0.3">
      <c r="A3" s="35" t="s">
        <v>361</v>
      </c>
      <c r="B3" s="36" t="s">
        <v>15</v>
      </c>
      <c r="C3" s="36" t="s">
        <v>122</v>
      </c>
      <c r="D3" s="36" t="s">
        <v>362</v>
      </c>
      <c r="E3" s="36" t="s">
        <v>363</v>
      </c>
      <c r="F3" s="36" t="s">
        <v>364</v>
      </c>
      <c r="G3" s="36" t="s">
        <v>365</v>
      </c>
      <c r="H3" s="36" t="s">
        <v>366</v>
      </c>
      <c r="I3" s="36"/>
      <c r="J3" s="36" t="s">
        <v>8</v>
      </c>
      <c r="K3" s="36" t="s">
        <v>56</v>
      </c>
      <c r="L3" s="36"/>
      <c r="M3" s="36"/>
      <c r="N3" s="36"/>
      <c r="O3" s="36"/>
      <c r="P3" s="44"/>
    </row>
    <row r="4" spans="1:16" ht="43.2" x14ac:dyDescent="0.3">
      <c r="A4" s="35" t="s">
        <v>367</v>
      </c>
      <c r="B4" s="36" t="s">
        <v>15</v>
      </c>
      <c r="C4" s="36" t="s">
        <v>368</v>
      </c>
      <c r="D4" s="36" t="s">
        <v>369</v>
      </c>
      <c r="E4" s="36" t="s">
        <v>370</v>
      </c>
      <c r="F4" s="36" t="s">
        <v>371</v>
      </c>
      <c r="G4" s="36" t="s">
        <v>372</v>
      </c>
      <c r="H4" s="36" t="s">
        <v>373</v>
      </c>
      <c r="I4" s="36"/>
      <c r="J4" s="36" t="s">
        <v>8</v>
      </c>
      <c r="K4" s="36" t="s">
        <v>56</v>
      </c>
      <c r="L4" s="36"/>
      <c r="M4" s="36"/>
      <c r="N4" s="36"/>
      <c r="O4" s="36"/>
      <c r="P4" s="44"/>
    </row>
    <row r="5" spans="1:16" ht="28.8" x14ac:dyDescent="0.3">
      <c r="A5" s="35" t="s">
        <v>374</v>
      </c>
      <c r="B5" s="36" t="s">
        <v>15</v>
      </c>
      <c r="C5" s="36" t="s">
        <v>375</v>
      </c>
      <c r="D5" s="36" t="s">
        <v>376</v>
      </c>
      <c r="E5" s="36" t="s">
        <v>377</v>
      </c>
      <c r="F5" s="36" t="s">
        <v>378</v>
      </c>
      <c r="G5" s="36" t="s">
        <v>379</v>
      </c>
      <c r="H5" s="36" t="s">
        <v>380</v>
      </c>
      <c r="I5" s="36"/>
      <c r="J5" s="36" t="s">
        <v>8</v>
      </c>
      <c r="K5" s="36" t="s">
        <v>58</v>
      </c>
      <c r="L5" s="36"/>
      <c r="M5" s="36"/>
      <c r="N5" s="36"/>
      <c r="O5" s="36"/>
      <c r="P5" s="44"/>
    </row>
    <row r="6" spans="1:16" ht="28.8" x14ac:dyDescent="0.3">
      <c r="A6" s="35" t="s">
        <v>381</v>
      </c>
      <c r="B6" s="36" t="s">
        <v>15</v>
      </c>
      <c r="C6" s="36" t="s">
        <v>382</v>
      </c>
      <c r="D6" s="36" t="s">
        <v>383</v>
      </c>
      <c r="E6" s="36" t="s">
        <v>384</v>
      </c>
      <c r="F6" s="36" t="s">
        <v>385</v>
      </c>
      <c r="G6" s="36" t="s">
        <v>386</v>
      </c>
      <c r="H6" s="36" t="s">
        <v>387</v>
      </c>
      <c r="I6" s="36"/>
      <c r="J6" s="36" t="s">
        <v>8</v>
      </c>
      <c r="K6" s="36" t="s">
        <v>58</v>
      </c>
      <c r="L6" s="36"/>
      <c r="M6" s="36"/>
      <c r="N6" s="36"/>
      <c r="O6" s="36"/>
      <c r="P6" s="44"/>
    </row>
    <row r="7" spans="1:16" ht="28.8" x14ac:dyDescent="0.3">
      <c r="A7" s="35" t="s">
        <v>388</v>
      </c>
      <c r="B7" s="36" t="s">
        <v>15</v>
      </c>
      <c r="C7" s="36" t="s">
        <v>389</v>
      </c>
      <c r="D7" s="36" t="s">
        <v>390</v>
      </c>
      <c r="E7" s="36" t="s">
        <v>391</v>
      </c>
      <c r="F7" s="36" t="s">
        <v>392</v>
      </c>
      <c r="G7" s="36" t="s">
        <v>393</v>
      </c>
      <c r="H7" s="36" t="s">
        <v>394</v>
      </c>
      <c r="I7" s="36"/>
      <c r="J7" s="36" t="s">
        <v>8</v>
      </c>
      <c r="K7" s="36" t="s">
        <v>58</v>
      </c>
      <c r="L7" s="36"/>
      <c r="M7" s="36"/>
      <c r="N7" s="36"/>
      <c r="O7" s="36"/>
      <c r="P7" s="44"/>
    </row>
    <row r="8" spans="1:16" ht="43.2" x14ac:dyDescent="0.3">
      <c r="A8" s="35" t="s">
        <v>395</v>
      </c>
      <c r="B8" s="36" t="s">
        <v>15</v>
      </c>
      <c r="C8" s="36" t="s">
        <v>396</v>
      </c>
      <c r="D8" s="36" t="s">
        <v>397</v>
      </c>
      <c r="E8" s="36" t="s">
        <v>398</v>
      </c>
      <c r="F8" s="36" t="s">
        <v>399</v>
      </c>
      <c r="G8" s="36" t="s">
        <v>400</v>
      </c>
      <c r="H8" s="36" t="s">
        <v>401</v>
      </c>
      <c r="I8" s="36"/>
      <c r="J8" s="36" t="s">
        <v>8</v>
      </c>
      <c r="K8" s="36" t="s">
        <v>58</v>
      </c>
      <c r="L8" s="36"/>
      <c r="M8" s="36"/>
      <c r="N8" s="36"/>
      <c r="O8" s="36"/>
      <c r="P8" s="44"/>
    </row>
    <row r="9" spans="1:16" ht="28.8" x14ac:dyDescent="0.3">
      <c r="A9" s="35" t="s">
        <v>402</v>
      </c>
      <c r="B9" s="36" t="s">
        <v>15</v>
      </c>
      <c r="C9" s="36" t="s">
        <v>403</v>
      </c>
      <c r="D9" s="36" t="s">
        <v>404</v>
      </c>
      <c r="E9" s="36" t="s">
        <v>405</v>
      </c>
      <c r="F9" s="36" t="s">
        <v>406</v>
      </c>
      <c r="G9" s="36" t="s">
        <v>407</v>
      </c>
      <c r="H9" s="36" t="s">
        <v>408</v>
      </c>
      <c r="I9" s="36"/>
      <c r="J9" s="36" t="s">
        <v>8</v>
      </c>
      <c r="K9" s="36" t="s">
        <v>56</v>
      </c>
      <c r="L9" s="36"/>
      <c r="M9" s="36"/>
      <c r="N9" s="36"/>
      <c r="O9" s="36"/>
      <c r="P9" s="44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</sheetData>
  <mergeCells count="1">
    <mergeCell ref="A1:P1"/>
  </mergeCells>
  <conditionalFormatting sqref="J3:J9">
    <cfRule type="expression" dxfId="13" priority="1">
      <formula>J3="Pass"</formula>
    </cfRule>
    <cfRule type="expression" dxfId="12" priority="2">
      <formula>J3="Fail"</formula>
    </cfRule>
    <cfRule type="expression" dxfId="11" priority="3">
      <formula>J3="Blocked"</formula>
    </cfRule>
  </conditionalFormatting>
  <conditionalFormatting sqref="J3:J997">
    <cfRule type="expression" dxfId="10" priority="4">
      <formula>J3="Pass"</formula>
    </cfRule>
    <cfRule type="expression" dxfId="9" priority="5">
      <formula>J3="Fail"</formula>
    </cfRule>
    <cfRule type="expression" dxfId="8" priority="6">
      <formula>J3="Blocked"</formula>
    </cfRule>
    <cfRule type="expression" dxfId="7" priority="7">
      <formula>J3="Not Run"</formula>
    </cfRule>
  </conditionalFormatting>
  <dataValidations count="3">
    <dataValidation type="list" sqref="J3:J497" xr:uid="{00000000-0002-0000-0600-000000000000}">
      <formula1>"Not Run,Pass,Fail,Blocked,N/A"</formula1>
    </dataValidation>
    <dataValidation type="list" sqref="K3:K497" xr:uid="{00000000-0002-0000-0600-000001000000}">
      <formula1>"Critical,High,Medium,Low"</formula1>
    </dataValidation>
    <dataValidation type="list" sqref="B3:B497" xr:uid="{00000000-0002-0000-0600-000002000000}">
      <formula1>"ADMIN,CANTEEN,VENDOR,USER"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tabSelected="1" workbookViewId="0">
      <selection sqref="A1:P1"/>
    </sheetView>
  </sheetViews>
  <sheetFormatPr defaultRowHeight="14.4" x14ac:dyDescent="0.3"/>
  <cols>
    <col min="1" max="1" width="13" customWidth="1"/>
    <col min="2" max="2" width="10" customWidth="1"/>
    <col min="3" max="3" width="20" customWidth="1"/>
    <col min="4" max="4" width="36" customWidth="1"/>
    <col min="5" max="5" width="32" customWidth="1"/>
    <col min="6" max="6" width="24" customWidth="1"/>
    <col min="7" max="8" width="42" customWidth="1"/>
    <col min="9" max="9" width="28" customWidth="1"/>
    <col min="10" max="11" width="12" customWidth="1"/>
    <col min="12" max="12" width="18" customWidth="1"/>
    <col min="13" max="13" width="14" customWidth="1"/>
    <col min="14" max="14" width="22" customWidth="1"/>
    <col min="15" max="15" width="14" customWidth="1"/>
    <col min="16" max="16" width="28" customWidth="1"/>
  </cols>
  <sheetData>
    <row r="1" spans="1:16" ht="25.2" customHeight="1" x14ac:dyDescent="0.3">
      <c r="A1" s="53" t="s">
        <v>409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x14ac:dyDescent="0.3">
      <c r="A2" s="31" t="s">
        <v>25</v>
      </c>
      <c r="B2" s="32" t="s">
        <v>11</v>
      </c>
      <c r="C2" s="32" t="s">
        <v>32</v>
      </c>
      <c r="D2" s="32" t="s">
        <v>36</v>
      </c>
      <c r="E2" s="32" t="s">
        <v>40</v>
      </c>
      <c r="F2" s="32" t="s">
        <v>44</v>
      </c>
      <c r="G2" s="32" t="s">
        <v>46</v>
      </c>
      <c r="H2" s="32" t="s">
        <v>48</v>
      </c>
      <c r="I2" s="32" t="s">
        <v>50</v>
      </c>
      <c r="J2" s="32" t="s">
        <v>2</v>
      </c>
      <c r="K2" s="32" t="s">
        <v>53</v>
      </c>
      <c r="L2" s="32" t="s">
        <v>117</v>
      </c>
      <c r="M2" s="32" t="s">
        <v>118</v>
      </c>
      <c r="N2" s="32" t="s">
        <v>119</v>
      </c>
      <c r="O2" s="32" t="s">
        <v>120</v>
      </c>
      <c r="P2" s="43" t="s">
        <v>66</v>
      </c>
    </row>
    <row r="3" spans="1:16" ht="43.2" x14ac:dyDescent="0.3">
      <c r="A3" s="35" t="s">
        <v>410</v>
      </c>
      <c r="B3" s="36" t="s">
        <v>16</v>
      </c>
      <c r="C3" s="36" t="s">
        <v>411</v>
      </c>
      <c r="D3" s="36" t="s">
        <v>412</v>
      </c>
      <c r="E3" s="36" t="s">
        <v>413</v>
      </c>
      <c r="F3" s="36" t="s">
        <v>414</v>
      </c>
      <c r="G3" s="36" t="s">
        <v>415</v>
      </c>
      <c r="H3" s="36" t="s">
        <v>416</v>
      </c>
      <c r="I3" s="36"/>
      <c r="J3" s="36" t="s">
        <v>8</v>
      </c>
      <c r="K3" s="36" t="s">
        <v>56</v>
      </c>
      <c r="L3" s="36"/>
      <c r="M3" s="36"/>
      <c r="N3" s="36"/>
      <c r="O3" s="36"/>
      <c r="P3" s="44"/>
    </row>
    <row r="4" spans="1:16" ht="43.2" x14ac:dyDescent="0.3">
      <c r="A4" s="35" t="s">
        <v>417</v>
      </c>
      <c r="B4" s="36" t="s">
        <v>16</v>
      </c>
      <c r="C4" s="36" t="s">
        <v>411</v>
      </c>
      <c r="D4" s="36" t="s">
        <v>418</v>
      </c>
      <c r="E4" s="36" t="s">
        <v>419</v>
      </c>
      <c r="F4" s="36" t="s">
        <v>420</v>
      </c>
      <c r="G4" s="36" t="s">
        <v>421</v>
      </c>
      <c r="H4" s="36" t="s">
        <v>422</v>
      </c>
      <c r="I4" s="36"/>
      <c r="J4" s="36" t="s">
        <v>8</v>
      </c>
      <c r="K4" s="36" t="s">
        <v>56</v>
      </c>
      <c r="L4" s="36"/>
      <c r="M4" s="36"/>
      <c r="N4" s="36"/>
      <c r="O4" s="36"/>
      <c r="P4" s="44"/>
    </row>
    <row r="5" spans="1:16" ht="43.2" x14ac:dyDescent="0.3">
      <c r="A5" s="35" t="s">
        <v>423</v>
      </c>
      <c r="B5" s="36" t="s">
        <v>16</v>
      </c>
      <c r="C5" s="36" t="s">
        <v>424</v>
      </c>
      <c r="D5" s="36" t="s">
        <v>425</v>
      </c>
      <c r="E5" s="36" t="s">
        <v>426</v>
      </c>
      <c r="F5" s="36" t="s">
        <v>427</v>
      </c>
      <c r="G5" s="36" t="s">
        <v>428</v>
      </c>
      <c r="H5" s="36" t="s">
        <v>429</v>
      </c>
      <c r="I5" s="36"/>
      <c r="J5" s="36" t="s">
        <v>8</v>
      </c>
      <c r="K5" s="36" t="s">
        <v>56</v>
      </c>
      <c r="L5" s="36"/>
      <c r="M5" s="36"/>
      <c r="N5" s="36"/>
      <c r="O5" s="36"/>
      <c r="P5" s="44"/>
    </row>
    <row r="6" spans="1:16" ht="28.8" x14ac:dyDescent="0.3">
      <c r="A6" s="35" t="s">
        <v>430</v>
      </c>
      <c r="B6" s="36" t="s">
        <v>16</v>
      </c>
      <c r="C6" s="36" t="s">
        <v>431</v>
      </c>
      <c r="D6" s="36" t="s">
        <v>432</v>
      </c>
      <c r="E6" s="36" t="s">
        <v>433</v>
      </c>
      <c r="F6" s="36" t="s">
        <v>434</v>
      </c>
      <c r="G6" s="36" t="s">
        <v>435</v>
      </c>
      <c r="H6" s="36" t="s">
        <v>436</v>
      </c>
      <c r="I6" s="36"/>
      <c r="J6" s="36" t="s">
        <v>8</v>
      </c>
      <c r="K6" s="36" t="s">
        <v>58</v>
      </c>
      <c r="L6" s="36"/>
      <c r="M6" s="36"/>
      <c r="N6" s="36"/>
      <c r="O6" s="36"/>
      <c r="P6" s="44"/>
    </row>
    <row r="7" spans="1:16" ht="86.4" x14ac:dyDescent="0.3">
      <c r="A7" s="35" t="s">
        <v>437</v>
      </c>
      <c r="B7" s="36" t="s">
        <v>16</v>
      </c>
      <c r="C7" s="36" t="s">
        <v>431</v>
      </c>
      <c r="D7" s="36" t="s">
        <v>438</v>
      </c>
      <c r="E7" s="36" t="s">
        <v>439</v>
      </c>
      <c r="F7" s="36" t="s">
        <v>440</v>
      </c>
      <c r="G7" s="36" t="s">
        <v>441</v>
      </c>
      <c r="H7" s="36" t="s">
        <v>442</v>
      </c>
      <c r="I7" s="36"/>
      <c r="J7" s="36" t="s">
        <v>8</v>
      </c>
      <c r="K7" s="36" t="s">
        <v>56</v>
      </c>
      <c r="L7" s="36"/>
      <c r="M7" s="36"/>
      <c r="N7" s="36"/>
      <c r="O7" s="36"/>
      <c r="P7" s="44"/>
    </row>
    <row r="8" spans="1:16" ht="28.8" x14ac:dyDescent="0.3">
      <c r="A8" s="35" t="s">
        <v>443</v>
      </c>
      <c r="B8" s="36" t="s">
        <v>16</v>
      </c>
      <c r="C8" s="36" t="s">
        <v>431</v>
      </c>
      <c r="D8" s="36" t="s">
        <v>444</v>
      </c>
      <c r="E8" s="36" t="s">
        <v>445</v>
      </c>
      <c r="F8" s="36" t="s">
        <v>446</v>
      </c>
      <c r="G8" s="36" t="s">
        <v>447</v>
      </c>
      <c r="H8" s="36" t="s">
        <v>448</v>
      </c>
      <c r="I8" s="36"/>
      <c r="J8" s="36" t="s">
        <v>8</v>
      </c>
      <c r="K8" s="36" t="s">
        <v>56</v>
      </c>
      <c r="L8" s="36"/>
      <c r="M8" s="36"/>
      <c r="N8" s="36"/>
      <c r="O8" s="36"/>
      <c r="P8" s="44"/>
    </row>
    <row r="9" spans="1:16" ht="43.2" x14ac:dyDescent="0.3">
      <c r="A9" s="35" t="s">
        <v>449</v>
      </c>
      <c r="B9" s="36" t="s">
        <v>16</v>
      </c>
      <c r="C9" s="36" t="s">
        <v>431</v>
      </c>
      <c r="D9" s="36" t="s">
        <v>450</v>
      </c>
      <c r="E9" s="36" t="s">
        <v>451</v>
      </c>
      <c r="F9" s="36" t="s">
        <v>452</v>
      </c>
      <c r="G9" s="36" t="s">
        <v>453</v>
      </c>
      <c r="H9" s="36" t="s">
        <v>454</v>
      </c>
      <c r="I9" s="36"/>
      <c r="J9" s="36" t="s">
        <v>8</v>
      </c>
      <c r="K9" s="36" t="s">
        <v>58</v>
      </c>
      <c r="L9" s="36"/>
      <c r="M9" s="36"/>
      <c r="N9" s="36"/>
      <c r="O9" s="36"/>
      <c r="P9" s="44"/>
    </row>
    <row r="10" spans="1:16" ht="28.8" x14ac:dyDescent="0.3">
      <c r="A10" s="35" t="s">
        <v>455</v>
      </c>
      <c r="B10" s="36" t="s">
        <v>16</v>
      </c>
      <c r="C10" s="36" t="s">
        <v>431</v>
      </c>
      <c r="D10" s="36" t="s">
        <v>456</v>
      </c>
      <c r="E10" s="36" t="s">
        <v>457</v>
      </c>
      <c r="F10" s="36" t="s">
        <v>458</v>
      </c>
      <c r="G10" s="36" t="s">
        <v>459</v>
      </c>
      <c r="H10" s="36" t="s">
        <v>460</v>
      </c>
      <c r="I10" s="36"/>
      <c r="J10" s="36" t="s">
        <v>8</v>
      </c>
      <c r="K10" s="36" t="s">
        <v>58</v>
      </c>
      <c r="L10" s="36"/>
      <c r="M10" s="36"/>
      <c r="N10" s="36"/>
      <c r="O10" s="36"/>
      <c r="P10" s="44"/>
    </row>
    <row r="11" spans="1:16" ht="28.8" x14ac:dyDescent="0.3">
      <c r="A11" s="35" t="s">
        <v>461</v>
      </c>
      <c r="B11" s="36" t="s">
        <v>16</v>
      </c>
      <c r="C11" s="36" t="s">
        <v>78</v>
      </c>
      <c r="D11" s="36" t="s">
        <v>462</v>
      </c>
      <c r="E11" s="36" t="s">
        <v>463</v>
      </c>
      <c r="F11" s="36" t="s">
        <v>464</v>
      </c>
      <c r="G11" s="36" t="s">
        <v>465</v>
      </c>
      <c r="H11" s="36" t="s">
        <v>466</v>
      </c>
      <c r="I11" s="36"/>
      <c r="J11" s="36" t="s">
        <v>8</v>
      </c>
      <c r="K11" s="36" t="s">
        <v>56</v>
      </c>
      <c r="L11" s="36"/>
      <c r="M11" s="36"/>
      <c r="N11" s="36"/>
      <c r="O11" s="36"/>
      <c r="P11" s="44"/>
    </row>
    <row r="12" spans="1:16" ht="43.2" x14ac:dyDescent="0.3">
      <c r="A12" s="35" t="s">
        <v>467</v>
      </c>
      <c r="B12" s="36" t="s">
        <v>16</v>
      </c>
      <c r="C12" s="36" t="s">
        <v>468</v>
      </c>
      <c r="D12" s="36" t="s">
        <v>469</v>
      </c>
      <c r="E12" s="36" t="s">
        <v>470</v>
      </c>
      <c r="F12" s="36" t="s">
        <v>471</v>
      </c>
      <c r="G12" s="36" t="s">
        <v>472</v>
      </c>
      <c r="H12" s="36" t="s">
        <v>473</v>
      </c>
      <c r="I12" s="36"/>
      <c r="J12" s="36" t="s">
        <v>8</v>
      </c>
      <c r="K12" s="36" t="s">
        <v>56</v>
      </c>
      <c r="L12" s="36"/>
      <c r="M12" s="36"/>
      <c r="N12" s="36"/>
      <c r="O12" s="36"/>
      <c r="P12" s="44"/>
    </row>
    <row r="13" spans="1:16" ht="28.8" x14ac:dyDescent="0.3">
      <c r="A13" s="35" t="s">
        <v>474</v>
      </c>
      <c r="B13" s="36" t="s">
        <v>16</v>
      </c>
      <c r="C13" s="36" t="s">
        <v>475</v>
      </c>
      <c r="D13" s="36" t="s">
        <v>476</v>
      </c>
      <c r="E13" s="36" t="s">
        <v>477</v>
      </c>
      <c r="F13" s="36" t="s">
        <v>478</v>
      </c>
      <c r="G13" s="36" t="s">
        <v>479</v>
      </c>
      <c r="H13" s="36" t="s">
        <v>480</v>
      </c>
      <c r="I13" s="36"/>
      <c r="J13" s="36" t="s">
        <v>8</v>
      </c>
      <c r="K13" s="36" t="s">
        <v>56</v>
      </c>
      <c r="L13" s="36"/>
      <c r="M13" s="36"/>
      <c r="N13" s="36"/>
      <c r="O13" s="36"/>
      <c r="P13" s="44"/>
    </row>
    <row r="14" spans="1:16" ht="57.6" x14ac:dyDescent="0.3">
      <c r="A14" s="35" t="s">
        <v>481</v>
      </c>
      <c r="B14" s="36" t="s">
        <v>16</v>
      </c>
      <c r="C14" s="36" t="s">
        <v>482</v>
      </c>
      <c r="D14" s="36" t="s">
        <v>483</v>
      </c>
      <c r="E14" s="36" t="s">
        <v>484</v>
      </c>
      <c r="F14" s="36" t="s">
        <v>485</v>
      </c>
      <c r="G14" s="36" t="s">
        <v>486</v>
      </c>
      <c r="H14" s="36" t="s">
        <v>487</v>
      </c>
      <c r="I14" s="36"/>
      <c r="J14" s="36" t="s">
        <v>8</v>
      </c>
      <c r="K14" s="36" t="s">
        <v>56</v>
      </c>
      <c r="L14" s="36"/>
      <c r="M14" s="36"/>
      <c r="N14" s="36"/>
      <c r="O14" s="36"/>
      <c r="P14" s="44"/>
    </row>
    <row r="15" spans="1:16" ht="28.8" x14ac:dyDescent="0.3">
      <c r="A15" s="35" t="s">
        <v>488</v>
      </c>
      <c r="B15" s="36" t="s">
        <v>16</v>
      </c>
      <c r="C15" s="36" t="s">
        <v>482</v>
      </c>
      <c r="D15" s="36" t="s">
        <v>489</v>
      </c>
      <c r="E15" s="36" t="s">
        <v>490</v>
      </c>
      <c r="F15" s="36" t="s">
        <v>491</v>
      </c>
      <c r="G15" s="36" t="s">
        <v>492</v>
      </c>
      <c r="H15" s="36" t="s">
        <v>493</v>
      </c>
      <c r="I15" s="36"/>
      <c r="J15" s="36" t="s">
        <v>8</v>
      </c>
      <c r="K15" s="36" t="s">
        <v>56</v>
      </c>
      <c r="L15" s="36"/>
      <c r="M15" s="36"/>
      <c r="N15" s="36"/>
      <c r="O15" s="36"/>
      <c r="P15" s="44"/>
    </row>
    <row r="16" spans="1:16" ht="43.2" x14ac:dyDescent="0.3">
      <c r="A16" s="35" t="s">
        <v>494</v>
      </c>
      <c r="B16" s="36" t="s">
        <v>16</v>
      </c>
      <c r="C16" s="36" t="s">
        <v>495</v>
      </c>
      <c r="D16" s="36" t="s">
        <v>496</v>
      </c>
      <c r="E16" s="36" t="s">
        <v>497</v>
      </c>
      <c r="F16" s="36" t="s">
        <v>498</v>
      </c>
      <c r="G16" s="36" t="s">
        <v>499</v>
      </c>
      <c r="H16" s="36" t="s">
        <v>500</v>
      </c>
      <c r="I16" s="36"/>
      <c r="J16" s="36" t="s">
        <v>8</v>
      </c>
      <c r="K16" s="36" t="s">
        <v>58</v>
      </c>
      <c r="L16" s="36"/>
      <c r="M16" s="36"/>
      <c r="N16" s="36"/>
      <c r="O16" s="36"/>
      <c r="P16" s="44"/>
    </row>
    <row r="17" spans="1:16" ht="28.8" x14ac:dyDescent="0.3">
      <c r="A17" s="35" t="s">
        <v>501</v>
      </c>
      <c r="B17" s="36" t="s">
        <v>16</v>
      </c>
      <c r="C17" s="36" t="s">
        <v>495</v>
      </c>
      <c r="D17" s="36" t="s">
        <v>502</v>
      </c>
      <c r="E17" s="36" t="s">
        <v>503</v>
      </c>
      <c r="F17" s="36" t="s">
        <v>504</v>
      </c>
      <c r="G17" s="36" t="s">
        <v>505</v>
      </c>
      <c r="H17" s="36" t="s">
        <v>506</v>
      </c>
      <c r="I17" s="36"/>
      <c r="J17" s="36" t="s">
        <v>8</v>
      </c>
      <c r="K17" s="36" t="s">
        <v>56</v>
      </c>
      <c r="L17" s="36"/>
      <c r="M17" s="36"/>
      <c r="N17" s="36"/>
      <c r="O17" s="36"/>
      <c r="P17" s="44"/>
    </row>
    <row r="18" spans="1:16" ht="28.8" x14ac:dyDescent="0.3">
      <c r="A18" s="35" t="s">
        <v>507</v>
      </c>
      <c r="B18" s="36" t="s">
        <v>16</v>
      </c>
      <c r="C18" s="36" t="s">
        <v>508</v>
      </c>
      <c r="D18" s="36" t="s">
        <v>509</v>
      </c>
      <c r="E18" s="36" t="s">
        <v>510</v>
      </c>
      <c r="F18" s="36" t="s">
        <v>511</v>
      </c>
      <c r="G18" s="36" t="s">
        <v>512</v>
      </c>
      <c r="H18" s="36" t="s">
        <v>513</v>
      </c>
      <c r="I18" s="36"/>
      <c r="J18" s="36" t="s">
        <v>8</v>
      </c>
      <c r="K18" s="36" t="s">
        <v>56</v>
      </c>
      <c r="L18" s="36"/>
      <c r="M18" s="36"/>
      <c r="N18" s="36"/>
      <c r="O18" s="36"/>
      <c r="P18" s="44"/>
    </row>
    <row r="19" spans="1:16" ht="28.8" x14ac:dyDescent="0.3">
      <c r="A19" s="35" t="s">
        <v>514</v>
      </c>
      <c r="B19" s="36" t="s">
        <v>16</v>
      </c>
      <c r="C19" s="36" t="s">
        <v>508</v>
      </c>
      <c r="D19" s="36" t="s">
        <v>515</v>
      </c>
      <c r="E19" s="36" t="s">
        <v>516</v>
      </c>
      <c r="F19" s="36" t="s">
        <v>517</v>
      </c>
      <c r="G19" s="36" t="s">
        <v>518</v>
      </c>
      <c r="H19" s="36" t="s">
        <v>519</v>
      </c>
      <c r="I19" s="36"/>
      <c r="J19" s="36" t="s">
        <v>8</v>
      </c>
      <c r="K19" s="36" t="s">
        <v>56</v>
      </c>
      <c r="L19" s="36"/>
      <c r="M19" s="36"/>
      <c r="N19" s="36"/>
      <c r="O19" s="36"/>
      <c r="P19" s="44"/>
    </row>
    <row r="20" spans="1:16" ht="43.2" x14ac:dyDescent="0.3">
      <c r="A20" s="35" t="s">
        <v>520</v>
      </c>
      <c r="B20" s="36" t="s">
        <v>16</v>
      </c>
      <c r="C20" s="36" t="s">
        <v>521</v>
      </c>
      <c r="D20" s="36" t="s">
        <v>522</v>
      </c>
      <c r="E20" s="36" t="s">
        <v>523</v>
      </c>
      <c r="F20" s="36" t="s">
        <v>524</v>
      </c>
      <c r="G20" s="36" t="s">
        <v>525</v>
      </c>
      <c r="H20" s="36" t="s">
        <v>526</v>
      </c>
      <c r="I20" s="36"/>
      <c r="J20" s="36" t="s">
        <v>8</v>
      </c>
      <c r="K20" s="36" t="s">
        <v>58</v>
      </c>
      <c r="L20" s="36"/>
      <c r="M20" s="36"/>
      <c r="N20" s="36"/>
      <c r="O20" s="36"/>
      <c r="P20" s="44"/>
    </row>
    <row r="21" spans="1:16" ht="28.8" x14ac:dyDescent="0.3">
      <c r="A21" s="35" t="s">
        <v>527</v>
      </c>
      <c r="B21" s="36" t="s">
        <v>16</v>
      </c>
      <c r="C21" s="36" t="s">
        <v>521</v>
      </c>
      <c r="D21" s="36" t="s">
        <v>528</v>
      </c>
      <c r="E21" s="36" t="s">
        <v>523</v>
      </c>
      <c r="F21" s="36" t="s">
        <v>529</v>
      </c>
      <c r="G21" s="36" t="s">
        <v>530</v>
      </c>
      <c r="H21" s="36" t="s">
        <v>531</v>
      </c>
      <c r="I21" s="36"/>
      <c r="J21" s="36" t="s">
        <v>8</v>
      </c>
      <c r="K21" s="36" t="s">
        <v>60</v>
      </c>
      <c r="L21" s="36"/>
      <c r="M21" s="36"/>
      <c r="N21" s="36"/>
      <c r="O21" s="36"/>
      <c r="P21" s="44"/>
    </row>
    <row r="22" spans="1:16" ht="28.8" x14ac:dyDescent="0.3">
      <c r="A22" s="35" t="s">
        <v>532</v>
      </c>
      <c r="B22" s="36" t="s">
        <v>16</v>
      </c>
      <c r="C22" s="36" t="s">
        <v>533</v>
      </c>
      <c r="D22" s="36" t="s">
        <v>534</v>
      </c>
      <c r="E22" s="36" t="s">
        <v>523</v>
      </c>
      <c r="F22" s="36" t="s">
        <v>535</v>
      </c>
      <c r="G22" s="36" t="s">
        <v>536</v>
      </c>
      <c r="H22" s="36" t="s">
        <v>537</v>
      </c>
      <c r="I22" s="36"/>
      <c r="J22" s="36" t="s">
        <v>8</v>
      </c>
      <c r="K22" s="36" t="s">
        <v>58</v>
      </c>
      <c r="L22" s="36"/>
      <c r="M22" s="36"/>
      <c r="N22" s="36"/>
      <c r="O22" s="36"/>
      <c r="P22" s="44"/>
    </row>
    <row r="23" spans="1:16" ht="43.2" x14ac:dyDescent="0.3">
      <c r="A23" s="35" t="s">
        <v>538</v>
      </c>
      <c r="B23" s="36" t="s">
        <v>16</v>
      </c>
      <c r="C23" s="36" t="s">
        <v>533</v>
      </c>
      <c r="D23" s="36" t="s">
        <v>539</v>
      </c>
      <c r="E23" s="36" t="s">
        <v>523</v>
      </c>
      <c r="F23" s="36" t="s">
        <v>540</v>
      </c>
      <c r="G23" s="36" t="s">
        <v>541</v>
      </c>
      <c r="H23" s="36" t="s">
        <v>542</v>
      </c>
      <c r="I23" s="36"/>
      <c r="J23" s="36" t="s">
        <v>8</v>
      </c>
      <c r="K23" s="36" t="s">
        <v>58</v>
      </c>
      <c r="L23" s="36"/>
      <c r="M23" s="36"/>
      <c r="N23" s="36"/>
      <c r="O23" s="36"/>
      <c r="P23" s="44"/>
    </row>
    <row r="24" spans="1:16" ht="28.8" x14ac:dyDescent="0.3">
      <c r="A24" s="35" t="s">
        <v>543</v>
      </c>
      <c r="B24" s="36" t="s">
        <v>16</v>
      </c>
      <c r="C24" s="36" t="s">
        <v>544</v>
      </c>
      <c r="D24" s="36" t="s">
        <v>545</v>
      </c>
      <c r="E24" s="36" t="s">
        <v>546</v>
      </c>
      <c r="F24" s="36" t="s">
        <v>547</v>
      </c>
      <c r="G24" s="36" t="s">
        <v>548</v>
      </c>
      <c r="H24" s="36" t="s">
        <v>549</v>
      </c>
      <c r="I24" s="36"/>
      <c r="J24" s="36" t="s">
        <v>8</v>
      </c>
      <c r="K24" s="36" t="s">
        <v>58</v>
      </c>
      <c r="L24" s="36"/>
      <c r="M24" s="36"/>
      <c r="N24" s="36"/>
      <c r="O24" s="36"/>
      <c r="P24" s="44"/>
    </row>
    <row r="25" spans="1:16" ht="43.2" x14ac:dyDescent="0.3">
      <c r="A25" s="35" t="s">
        <v>550</v>
      </c>
      <c r="B25" s="36" t="s">
        <v>16</v>
      </c>
      <c r="C25" s="36" t="s">
        <v>551</v>
      </c>
      <c r="D25" s="36" t="s">
        <v>552</v>
      </c>
      <c r="E25" s="36" t="s">
        <v>553</v>
      </c>
      <c r="F25" s="36" t="s">
        <v>554</v>
      </c>
      <c r="G25" s="36" t="s">
        <v>555</v>
      </c>
      <c r="H25" s="36" t="s">
        <v>556</v>
      </c>
      <c r="I25" s="36"/>
      <c r="J25" s="36" t="s">
        <v>8</v>
      </c>
      <c r="K25" s="36" t="s">
        <v>58</v>
      </c>
      <c r="L25" s="36"/>
      <c r="M25" s="36"/>
      <c r="N25" s="36"/>
      <c r="O25" s="36"/>
      <c r="P25" s="44"/>
    </row>
    <row r="26" spans="1:16" ht="43.2" x14ac:dyDescent="0.3">
      <c r="A26" s="35" t="s">
        <v>557</v>
      </c>
      <c r="B26" s="36" t="s">
        <v>16</v>
      </c>
      <c r="C26" s="36" t="s">
        <v>551</v>
      </c>
      <c r="D26" s="36" t="s">
        <v>558</v>
      </c>
      <c r="E26" s="36" t="s">
        <v>559</v>
      </c>
      <c r="F26" s="36" t="s">
        <v>560</v>
      </c>
      <c r="G26" s="36" t="s">
        <v>561</v>
      </c>
      <c r="H26" s="36" t="s">
        <v>562</v>
      </c>
      <c r="I26" s="36"/>
      <c r="J26" s="36" t="s">
        <v>8</v>
      </c>
      <c r="K26" s="36" t="s">
        <v>58</v>
      </c>
      <c r="L26" s="36"/>
      <c r="M26" s="36"/>
      <c r="N26" s="36"/>
      <c r="O26" s="36"/>
      <c r="P26" s="44"/>
    </row>
    <row r="27" spans="1:16" ht="28.8" x14ac:dyDescent="0.3">
      <c r="A27" s="35" t="s">
        <v>563</v>
      </c>
      <c r="B27" s="36" t="s">
        <v>16</v>
      </c>
      <c r="C27" s="36" t="s">
        <v>564</v>
      </c>
      <c r="D27" s="36" t="s">
        <v>565</v>
      </c>
      <c r="E27" s="36" t="s">
        <v>566</v>
      </c>
      <c r="F27" s="36" t="s">
        <v>567</v>
      </c>
      <c r="G27" s="36" t="s">
        <v>568</v>
      </c>
      <c r="H27" s="36" t="s">
        <v>569</v>
      </c>
      <c r="I27" s="36"/>
      <c r="J27" s="36" t="s">
        <v>8</v>
      </c>
      <c r="K27" s="36" t="s">
        <v>60</v>
      </c>
      <c r="L27" s="36"/>
      <c r="M27" s="36"/>
      <c r="N27" s="36"/>
      <c r="O27" s="36"/>
      <c r="P27" s="44"/>
    </row>
    <row r="28" spans="1:16" ht="28.8" x14ac:dyDescent="0.3">
      <c r="A28" s="35" t="s">
        <v>570</v>
      </c>
      <c r="B28" s="36" t="s">
        <v>16</v>
      </c>
      <c r="C28" s="36" t="s">
        <v>571</v>
      </c>
      <c r="D28" s="36" t="s">
        <v>572</v>
      </c>
      <c r="E28" s="36" t="s">
        <v>523</v>
      </c>
      <c r="F28" s="36" t="s">
        <v>300</v>
      </c>
      <c r="G28" s="36" t="s">
        <v>573</v>
      </c>
      <c r="H28" s="36" t="s">
        <v>574</v>
      </c>
      <c r="I28" s="36"/>
      <c r="J28" s="36" t="s">
        <v>8</v>
      </c>
      <c r="K28" s="36" t="s">
        <v>60</v>
      </c>
      <c r="L28" s="36"/>
      <c r="M28" s="36"/>
      <c r="N28" s="36"/>
      <c r="O28" s="36"/>
      <c r="P28" s="44"/>
    </row>
    <row r="29" spans="1:16" ht="43.2" x14ac:dyDescent="0.3">
      <c r="A29" s="39" t="s">
        <v>575</v>
      </c>
      <c r="B29" s="40" t="s">
        <v>16</v>
      </c>
      <c r="C29" s="40" t="s">
        <v>576</v>
      </c>
      <c r="D29" s="40" t="s">
        <v>577</v>
      </c>
      <c r="E29" s="40" t="s">
        <v>523</v>
      </c>
      <c r="F29" s="40" t="s">
        <v>578</v>
      </c>
      <c r="G29" s="40" t="s">
        <v>579</v>
      </c>
      <c r="H29" s="40" t="s">
        <v>580</v>
      </c>
      <c r="I29" s="40"/>
      <c r="J29" s="40" t="s">
        <v>8</v>
      </c>
      <c r="K29" s="40" t="s">
        <v>56</v>
      </c>
      <c r="L29" s="40"/>
      <c r="M29" s="40"/>
      <c r="N29" s="40"/>
      <c r="O29" s="40"/>
      <c r="P29" s="45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</sheetData>
  <mergeCells count="1">
    <mergeCell ref="A1:P1"/>
  </mergeCells>
  <conditionalFormatting sqref="J3:J29">
    <cfRule type="expression" dxfId="6" priority="1">
      <formula>J3="Pass"</formula>
    </cfRule>
    <cfRule type="expression" dxfId="5" priority="2">
      <formula>J3="Fail"</formula>
    </cfRule>
    <cfRule type="expression" dxfId="4" priority="3">
      <formula>J3="Blocked"</formula>
    </cfRule>
  </conditionalFormatting>
  <conditionalFormatting sqref="J3:J1000">
    <cfRule type="expression" dxfId="3" priority="4">
      <formula>J3="Pass"</formula>
    </cfRule>
    <cfRule type="expression" dxfId="2" priority="5">
      <formula>J3="Fail"</formula>
    </cfRule>
    <cfRule type="expression" dxfId="1" priority="6">
      <formula>J3="Blocked"</formula>
    </cfRule>
    <cfRule type="expression" dxfId="0" priority="7">
      <formula>J3="Not Run"</formula>
    </cfRule>
  </conditionalFormatting>
  <dataValidations count="3">
    <dataValidation type="list" sqref="J3:J500" xr:uid="{00000000-0002-0000-0700-000000000000}">
      <formula1>"Not Run,Pass,Fail,Blocked,N/A"</formula1>
    </dataValidation>
    <dataValidation type="list" sqref="K3:K500" xr:uid="{00000000-0002-0000-0700-000001000000}">
      <formula1>"Critical,High,Medium,Low"</formula1>
    </dataValidation>
    <dataValidation type="list" sqref="B3:B500" xr:uid="{00000000-0002-0000-0700-000002000000}">
      <formula1>"ADMIN,CANTEEN,VENDOR,USER"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5"/>
  <sheetViews>
    <sheetView workbookViewId="0">
      <selection sqref="A1:I1"/>
    </sheetView>
  </sheetViews>
  <sheetFormatPr defaultRowHeight="14.4" x14ac:dyDescent="0.3"/>
  <cols>
    <col min="1" max="1" width="8" customWidth="1"/>
    <col min="2" max="2" width="30" customWidth="1"/>
    <col min="3" max="3" width="12" customWidth="1"/>
    <col min="4" max="4" width="13" customWidth="1"/>
    <col min="5" max="5" width="22" customWidth="1"/>
    <col min="6" max="6" width="44" customWidth="1"/>
    <col min="7" max="7" width="34" customWidth="1"/>
    <col min="8" max="8" width="38" customWidth="1"/>
    <col min="9" max="9" width="12" customWidth="1"/>
  </cols>
  <sheetData>
    <row r="1" spans="1:9" ht="22.35" customHeight="1" x14ac:dyDescent="0.3">
      <c r="A1" s="56" t="s">
        <v>581</v>
      </c>
      <c r="B1" s="56"/>
      <c r="C1" s="56"/>
      <c r="D1" s="56"/>
      <c r="E1" s="56"/>
      <c r="F1" s="56"/>
      <c r="G1" s="56"/>
      <c r="H1" s="56"/>
      <c r="I1" s="56"/>
    </row>
    <row r="2" spans="1:9" ht="33.6" customHeight="1" x14ac:dyDescent="0.3">
      <c r="A2" s="57" t="s">
        <v>582</v>
      </c>
      <c r="B2" s="57"/>
      <c r="C2" s="57"/>
      <c r="D2" s="57"/>
      <c r="E2" s="57"/>
      <c r="F2" s="57"/>
      <c r="G2" s="57"/>
      <c r="H2" s="57"/>
      <c r="I2" s="57"/>
    </row>
    <row r="4" spans="1:9" ht="20.85" customHeight="1" x14ac:dyDescent="0.3">
      <c r="A4" s="50" t="s">
        <v>583</v>
      </c>
      <c r="B4" s="50" t="s">
        <v>584</v>
      </c>
      <c r="C4" s="50" t="s">
        <v>11</v>
      </c>
      <c r="D4" s="50" t="s">
        <v>25</v>
      </c>
      <c r="E4" s="50" t="s">
        <v>32</v>
      </c>
      <c r="F4" s="50" t="s">
        <v>36</v>
      </c>
      <c r="G4" s="50" t="s">
        <v>585</v>
      </c>
      <c r="H4" s="50" t="s">
        <v>586</v>
      </c>
      <c r="I4" s="50" t="s">
        <v>2</v>
      </c>
    </row>
    <row r="5" spans="1:9" ht="28.8" x14ac:dyDescent="0.3">
      <c r="A5" s="51">
        <v>1</v>
      </c>
      <c r="B5" s="1" t="s">
        <v>587</v>
      </c>
      <c r="C5" s="51" t="s">
        <v>13</v>
      </c>
      <c r="D5" s="51" t="s">
        <v>121</v>
      </c>
      <c r="E5" s="1" t="s">
        <v>122</v>
      </c>
      <c r="F5" s="1" t="s">
        <v>123</v>
      </c>
      <c r="G5" s="1" t="s">
        <v>124</v>
      </c>
      <c r="H5" s="1" t="s">
        <v>125</v>
      </c>
      <c r="I5" s="1" t="s">
        <v>8</v>
      </c>
    </row>
    <row r="6" spans="1:9" ht="28.8" x14ac:dyDescent="0.3">
      <c r="A6" s="51">
        <v>2</v>
      </c>
      <c r="B6" s="1" t="s">
        <v>587</v>
      </c>
      <c r="C6" s="51" t="s">
        <v>13</v>
      </c>
      <c r="D6" s="51" t="s">
        <v>135</v>
      </c>
      <c r="E6" s="1" t="s">
        <v>136</v>
      </c>
      <c r="F6" s="1" t="s">
        <v>137</v>
      </c>
      <c r="G6" s="1" t="s">
        <v>138</v>
      </c>
      <c r="H6" s="1" t="s">
        <v>139</v>
      </c>
      <c r="I6" s="1" t="s">
        <v>8</v>
      </c>
    </row>
    <row r="7" spans="1:9" ht="28.8" x14ac:dyDescent="0.3">
      <c r="A7" s="51">
        <v>3</v>
      </c>
      <c r="B7" s="1" t="s">
        <v>587</v>
      </c>
      <c r="C7" s="51" t="s">
        <v>13</v>
      </c>
      <c r="D7" s="51" t="s">
        <v>142</v>
      </c>
      <c r="E7" s="1" t="s">
        <v>136</v>
      </c>
      <c r="F7" s="1" t="s">
        <v>143</v>
      </c>
      <c r="G7" s="1" t="s">
        <v>144</v>
      </c>
      <c r="H7" s="1" t="s">
        <v>145</v>
      </c>
      <c r="I7" s="1" t="s">
        <v>8</v>
      </c>
    </row>
    <row r="8" spans="1:9" ht="28.8" x14ac:dyDescent="0.3">
      <c r="A8" s="51">
        <v>4</v>
      </c>
      <c r="B8" s="1" t="s">
        <v>587</v>
      </c>
      <c r="C8" s="51" t="s">
        <v>13</v>
      </c>
      <c r="D8" s="51" t="s">
        <v>154</v>
      </c>
      <c r="E8" s="1" t="s">
        <v>155</v>
      </c>
      <c r="F8" s="1" t="s">
        <v>156</v>
      </c>
      <c r="G8" s="1" t="s">
        <v>157</v>
      </c>
      <c r="H8" s="1" t="s">
        <v>588</v>
      </c>
      <c r="I8" s="1" t="s">
        <v>8</v>
      </c>
    </row>
    <row r="9" spans="1:9" ht="28.8" x14ac:dyDescent="0.3">
      <c r="A9" s="51">
        <v>5</v>
      </c>
      <c r="B9" s="1" t="s">
        <v>587</v>
      </c>
      <c r="C9" s="51" t="s">
        <v>13</v>
      </c>
      <c r="D9" s="51" t="s">
        <v>161</v>
      </c>
      <c r="E9" s="1" t="s">
        <v>162</v>
      </c>
      <c r="F9" s="1" t="s">
        <v>163</v>
      </c>
      <c r="G9" s="1" t="s">
        <v>138</v>
      </c>
      <c r="H9" s="1" t="s">
        <v>589</v>
      </c>
      <c r="I9" s="1" t="s">
        <v>8</v>
      </c>
    </row>
    <row r="10" spans="1:9" ht="28.8" x14ac:dyDescent="0.3">
      <c r="A10" s="51">
        <v>6</v>
      </c>
      <c r="B10" s="1" t="s">
        <v>587</v>
      </c>
      <c r="C10" s="51" t="s">
        <v>13</v>
      </c>
      <c r="D10" s="51" t="s">
        <v>167</v>
      </c>
      <c r="E10" s="1" t="s">
        <v>168</v>
      </c>
      <c r="F10" s="1" t="s">
        <v>169</v>
      </c>
      <c r="G10" s="1" t="s">
        <v>170</v>
      </c>
      <c r="H10" s="1" t="s">
        <v>590</v>
      </c>
      <c r="I10" s="1" t="s">
        <v>8</v>
      </c>
    </row>
    <row r="11" spans="1:9" ht="28.8" x14ac:dyDescent="0.3">
      <c r="A11" s="51">
        <v>7</v>
      </c>
      <c r="B11" s="1" t="s">
        <v>587</v>
      </c>
      <c r="C11" s="51" t="s">
        <v>13</v>
      </c>
      <c r="D11" s="51" t="s">
        <v>174</v>
      </c>
      <c r="E11" s="1" t="s">
        <v>168</v>
      </c>
      <c r="F11" s="1" t="s">
        <v>175</v>
      </c>
      <c r="G11" s="1" t="s">
        <v>138</v>
      </c>
      <c r="H11" s="1" t="s">
        <v>591</v>
      </c>
      <c r="I11" s="1" t="s">
        <v>8</v>
      </c>
    </row>
    <row r="12" spans="1:9" ht="28.8" x14ac:dyDescent="0.3">
      <c r="A12" s="51">
        <v>8</v>
      </c>
      <c r="B12" s="1" t="s">
        <v>587</v>
      </c>
      <c r="C12" s="51" t="s">
        <v>13</v>
      </c>
      <c r="D12" s="51" t="s">
        <v>185</v>
      </c>
      <c r="E12" s="1" t="s">
        <v>186</v>
      </c>
      <c r="F12" s="1" t="s">
        <v>187</v>
      </c>
      <c r="G12" s="1" t="s">
        <v>138</v>
      </c>
      <c r="H12" s="1" t="s">
        <v>592</v>
      </c>
      <c r="I12" s="1" t="s">
        <v>8</v>
      </c>
    </row>
    <row r="13" spans="1:9" ht="28.8" x14ac:dyDescent="0.3">
      <c r="A13" s="51">
        <v>9</v>
      </c>
      <c r="B13" s="1" t="s">
        <v>587</v>
      </c>
      <c r="C13" s="51" t="s">
        <v>13</v>
      </c>
      <c r="D13" s="51" t="s">
        <v>191</v>
      </c>
      <c r="E13" s="1" t="s">
        <v>192</v>
      </c>
      <c r="F13" s="1" t="s">
        <v>193</v>
      </c>
      <c r="G13" s="1" t="s">
        <v>138</v>
      </c>
      <c r="H13" s="1" t="s">
        <v>593</v>
      </c>
      <c r="I13" s="1" t="s">
        <v>8</v>
      </c>
    </row>
    <row r="14" spans="1:9" ht="28.8" x14ac:dyDescent="0.3">
      <c r="A14" s="51">
        <v>10</v>
      </c>
      <c r="B14" s="1" t="s">
        <v>587</v>
      </c>
      <c r="C14" s="51" t="s">
        <v>13</v>
      </c>
      <c r="D14" s="51" t="s">
        <v>197</v>
      </c>
      <c r="E14" s="1" t="s">
        <v>198</v>
      </c>
      <c r="F14" s="1" t="s">
        <v>199</v>
      </c>
      <c r="G14" s="1" t="s">
        <v>200</v>
      </c>
      <c r="H14" s="1" t="s">
        <v>594</v>
      </c>
      <c r="I14" s="1" t="s">
        <v>8</v>
      </c>
    </row>
    <row r="15" spans="1:9" ht="28.8" x14ac:dyDescent="0.3">
      <c r="A15" s="51">
        <v>11</v>
      </c>
      <c r="B15" s="1" t="s">
        <v>587</v>
      </c>
      <c r="C15" s="51" t="s">
        <v>13</v>
      </c>
      <c r="D15" s="51" t="s">
        <v>204</v>
      </c>
      <c r="E15" s="1" t="s">
        <v>205</v>
      </c>
      <c r="F15" s="1" t="s">
        <v>206</v>
      </c>
      <c r="G15" s="1" t="s">
        <v>207</v>
      </c>
      <c r="H15" s="1" t="s">
        <v>595</v>
      </c>
      <c r="I15" s="1" t="s">
        <v>8</v>
      </c>
    </row>
    <row r="16" spans="1:9" x14ac:dyDescent="0.3">
      <c r="A16" s="51">
        <v>12</v>
      </c>
      <c r="B16" s="1" t="s">
        <v>596</v>
      </c>
      <c r="C16" s="51" t="s">
        <v>13</v>
      </c>
      <c r="D16" s="51" t="s">
        <v>179</v>
      </c>
      <c r="E16" s="1" t="s">
        <v>180</v>
      </c>
      <c r="F16" s="1" t="s">
        <v>181</v>
      </c>
      <c r="G16" s="1" t="s">
        <v>138</v>
      </c>
      <c r="H16" s="1" t="s">
        <v>597</v>
      </c>
      <c r="I16" s="1" t="s">
        <v>8</v>
      </c>
    </row>
    <row r="17" spans="1:9" x14ac:dyDescent="0.3">
      <c r="A17" s="51">
        <v>13</v>
      </c>
      <c r="B17" s="1" t="s">
        <v>596</v>
      </c>
      <c r="C17" s="51" t="s">
        <v>13</v>
      </c>
      <c r="D17" s="51" t="s">
        <v>230</v>
      </c>
      <c r="E17" s="1" t="s">
        <v>231</v>
      </c>
      <c r="F17" s="1" t="s">
        <v>232</v>
      </c>
      <c r="G17" s="1" t="s">
        <v>138</v>
      </c>
      <c r="H17" s="1" t="s">
        <v>598</v>
      </c>
      <c r="I17" s="1" t="s">
        <v>8</v>
      </c>
    </row>
    <row r="18" spans="1:9" ht="28.8" x14ac:dyDescent="0.3">
      <c r="A18" s="51">
        <v>14</v>
      </c>
      <c r="B18" s="1" t="s">
        <v>596</v>
      </c>
      <c r="C18" s="51" t="s">
        <v>13</v>
      </c>
      <c r="D18" s="51" t="s">
        <v>236</v>
      </c>
      <c r="E18" s="1" t="s">
        <v>237</v>
      </c>
      <c r="F18" s="1" t="s">
        <v>238</v>
      </c>
      <c r="G18" s="1" t="s">
        <v>138</v>
      </c>
      <c r="H18" s="1" t="s">
        <v>599</v>
      </c>
      <c r="I18" s="1" t="s">
        <v>8</v>
      </c>
    </row>
    <row r="19" spans="1:9" ht="28.8" x14ac:dyDescent="0.3">
      <c r="A19" s="51">
        <v>15</v>
      </c>
      <c r="B19" s="1" t="s">
        <v>600</v>
      </c>
      <c r="C19" s="51" t="s">
        <v>16</v>
      </c>
      <c r="D19" s="51" t="s">
        <v>410</v>
      </c>
      <c r="E19" s="1" t="s">
        <v>411</v>
      </c>
      <c r="F19" s="1" t="s">
        <v>412</v>
      </c>
      <c r="G19" s="1" t="s">
        <v>413</v>
      </c>
      <c r="H19" s="1" t="s">
        <v>601</v>
      </c>
      <c r="I19" s="1" t="s">
        <v>8</v>
      </c>
    </row>
    <row r="20" spans="1:9" ht="28.8" x14ac:dyDescent="0.3">
      <c r="A20" s="51">
        <v>16</v>
      </c>
      <c r="B20" s="1" t="s">
        <v>600</v>
      </c>
      <c r="C20" s="51" t="s">
        <v>16</v>
      </c>
      <c r="D20" s="51" t="s">
        <v>417</v>
      </c>
      <c r="E20" s="1" t="s">
        <v>411</v>
      </c>
      <c r="F20" s="1" t="s">
        <v>418</v>
      </c>
      <c r="G20" s="1" t="s">
        <v>419</v>
      </c>
      <c r="H20" s="1" t="s">
        <v>602</v>
      </c>
      <c r="I20" s="1" t="s">
        <v>8</v>
      </c>
    </row>
    <row r="21" spans="1:9" ht="28.8" x14ac:dyDescent="0.3">
      <c r="A21" s="51">
        <v>17</v>
      </c>
      <c r="B21" s="1" t="s">
        <v>600</v>
      </c>
      <c r="C21" s="51" t="s">
        <v>16</v>
      </c>
      <c r="D21" s="51" t="s">
        <v>423</v>
      </c>
      <c r="E21" s="1" t="s">
        <v>424</v>
      </c>
      <c r="F21" s="1" t="s">
        <v>425</v>
      </c>
      <c r="G21" s="1" t="s">
        <v>426</v>
      </c>
      <c r="H21" s="1" t="s">
        <v>603</v>
      </c>
      <c r="I21" s="1" t="s">
        <v>8</v>
      </c>
    </row>
    <row r="22" spans="1:9" ht="28.8" x14ac:dyDescent="0.3">
      <c r="A22" s="51">
        <v>18</v>
      </c>
      <c r="B22" s="1" t="s">
        <v>600</v>
      </c>
      <c r="C22" s="51" t="s">
        <v>16</v>
      </c>
      <c r="D22" s="51" t="s">
        <v>550</v>
      </c>
      <c r="E22" s="1" t="s">
        <v>551</v>
      </c>
      <c r="F22" s="1" t="s">
        <v>552</v>
      </c>
      <c r="G22" s="1" t="s">
        <v>553</v>
      </c>
      <c r="H22" s="1" t="s">
        <v>554</v>
      </c>
      <c r="I22" s="1" t="s">
        <v>8</v>
      </c>
    </row>
    <row r="23" spans="1:9" ht="28.8" x14ac:dyDescent="0.3">
      <c r="A23" s="51">
        <v>19</v>
      </c>
      <c r="B23" s="1" t="s">
        <v>600</v>
      </c>
      <c r="C23" s="51" t="s">
        <v>16</v>
      </c>
      <c r="D23" s="51" t="s">
        <v>557</v>
      </c>
      <c r="E23" s="1" t="s">
        <v>551</v>
      </c>
      <c r="F23" s="1" t="s">
        <v>558</v>
      </c>
      <c r="G23" s="1" t="s">
        <v>559</v>
      </c>
      <c r="H23" s="1" t="s">
        <v>604</v>
      </c>
      <c r="I23" s="1" t="s">
        <v>8</v>
      </c>
    </row>
    <row r="24" spans="1:9" ht="28.8" x14ac:dyDescent="0.3">
      <c r="A24" s="51">
        <v>20</v>
      </c>
      <c r="B24" s="1" t="s">
        <v>600</v>
      </c>
      <c r="C24" s="51" t="s">
        <v>16</v>
      </c>
      <c r="D24" s="51" t="s">
        <v>430</v>
      </c>
      <c r="E24" s="1" t="s">
        <v>431</v>
      </c>
      <c r="F24" s="1" t="s">
        <v>432</v>
      </c>
      <c r="G24" s="1" t="s">
        <v>433</v>
      </c>
      <c r="H24" s="1" t="s">
        <v>605</v>
      </c>
      <c r="I24" s="1" t="s">
        <v>8</v>
      </c>
    </row>
    <row r="25" spans="1:9" ht="28.8" x14ac:dyDescent="0.3">
      <c r="A25" s="51">
        <v>21</v>
      </c>
      <c r="B25" s="1" t="s">
        <v>600</v>
      </c>
      <c r="C25" s="51" t="s">
        <v>16</v>
      </c>
      <c r="D25" s="51" t="s">
        <v>437</v>
      </c>
      <c r="E25" s="1" t="s">
        <v>431</v>
      </c>
      <c r="F25" s="1" t="s">
        <v>438</v>
      </c>
      <c r="G25" s="1" t="s">
        <v>439</v>
      </c>
      <c r="H25" s="1" t="s">
        <v>606</v>
      </c>
      <c r="I25" s="1" t="s">
        <v>8</v>
      </c>
    </row>
    <row r="26" spans="1:9" ht="28.8" x14ac:dyDescent="0.3">
      <c r="A26" s="51">
        <v>22</v>
      </c>
      <c r="B26" s="1" t="s">
        <v>600</v>
      </c>
      <c r="C26" s="51" t="s">
        <v>16</v>
      </c>
      <c r="D26" s="51" t="s">
        <v>443</v>
      </c>
      <c r="E26" s="1" t="s">
        <v>431</v>
      </c>
      <c r="F26" s="1" t="s">
        <v>444</v>
      </c>
      <c r="G26" s="1" t="s">
        <v>445</v>
      </c>
      <c r="H26" s="1" t="s">
        <v>446</v>
      </c>
      <c r="I26" s="1" t="s">
        <v>8</v>
      </c>
    </row>
    <row r="27" spans="1:9" ht="28.8" x14ac:dyDescent="0.3">
      <c r="A27" s="51">
        <v>23</v>
      </c>
      <c r="B27" s="1" t="s">
        <v>600</v>
      </c>
      <c r="C27" s="51" t="s">
        <v>16</v>
      </c>
      <c r="D27" s="51" t="s">
        <v>474</v>
      </c>
      <c r="E27" s="1" t="s">
        <v>475</v>
      </c>
      <c r="F27" s="1" t="s">
        <v>476</v>
      </c>
      <c r="G27" s="1" t="s">
        <v>477</v>
      </c>
      <c r="H27" s="1" t="s">
        <v>607</v>
      </c>
      <c r="I27" s="1" t="s">
        <v>8</v>
      </c>
    </row>
    <row r="28" spans="1:9" ht="28.8" x14ac:dyDescent="0.3">
      <c r="A28" s="51">
        <v>24</v>
      </c>
      <c r="B28" s="1" t="s">
        <v>600</v>
      </c>
      <c r="C28" s="51" t="s">
        <v>16</v>
      </c>
      <c r="D28" s="51" t="s">
        <v>481</v>
      </c>
      <c r="E28" s="1" t="s">
        <v>482</v>
      </c>
      <c r="F28" s="1" t="s">
        <v>483</v>
      </c>
      <c r="G28" s="1" t="s">
        <v>484</v>
      </c>
      <c r="H28" s="1" t="s">
        <v>608</v>
      </c>
      <c r="I28" s="1" t="s">
        <v>8</v>
      </c>
    </row>
    <row r="29" spans="1:9" ht="28.8" x14ac:dyDescent="0.3">
      <c r="A29" s="51">
        <v>25</v>
      </c>
      <c r="B29" s="1" t="s">
        <v>600</v>
      </c>
      <c r="C29" s="51" t="s">
        <v>16</v>
      </c>
      <c r="D29" s="51" t="s">
        <v>488</v>
      </c>
      <c r="E29" s="1" t="s">
        <v>482</v>
      </c>
      <c r="F29" s="1" t="s">
        <v>489</v>
      </c>
      <c r="G29" s="1" t="s">
        <v>490</v>
      </c>
      <c r="H29" s="1" t="s">
        <v>609</v>
      </c>
      <c r="I29" s="1" t="s">
        <v>8</v>
      </c>
    </row>
    <row r="30" spans="1:9" ht="28.8" x14ac:dyDescent="0.3">
      <c r="A30" s="51">
        <v>26</v>
      </c>
      <c r="B30" s="1" t="s">
        <v>600</v>
      </c>
      <c r="C30" s="51" t="s">
        <v>16</v>
      </c>
      <c r="D30" s="51" t="s">
        <v>494</v>
      </c>
      <c r="E30" s="1" t="s">
        <v>495</v>
      </c>
      <c r="F30" s="1" t="s">
        <v>496</v>
      </c>
      <c r="G30" s="1" t="s">
        <v>497</v>
      </c>
      <c r="H30" s="1" t="s">
        <v>610</v>
      </c>
      <c r="I30" s="1" t="s">
        <v>8</v>
      </c>
    </row>
    <row r="31" spans="1:9" ht="28.8" x14ac:dyDescent="0.3">
      <c r="A31" s="51">
        <v>27</v>
      </c>
      <c r="B31" s="1" t="s">
        <v>600</v>
      </c>
      <c r="C31" s="51" t="s">
        <v>16</v>
      </c>
      <c r="D31" s="51" t="s">
        <v>501</v>
      </c>
      <c r="E31" s="1" t="s">
        <v>495</v>
      </c>
      <c r="F31" s="1" t="s">
        <v>502</v>
      </c>
      <c r="G31" s="1" t="s">
        <v>503</v>
      </c>
      <c r="H31" s="1" t="s">
        <v>611</v>
      </c>
      <c r="I31" s="1" t="s">
        <v>8</v>
      </c>
    </row>
    <row r="32" spans="1:9" ht="28.8" x14ac:dyDescent="0.3">
      <c r="A32" s="51">
        <v>28</v>
      </c>
      <c r="B32" s="1" t="s">
        <v>600</v>
      </c>
      <c r="C32" s="51" t="s">
        <v>16</v>
      </c>
      <c r="D32" s="51" t="s">
        <v>543</v>
      </c>
      <c r="E32" s="1" t="s">
        <v>544</v>
      </c>
      <c r="F32" s="1" t="s">
        <v>545</v>
      </c>
      <c r="G32" s="1" t="s">
        <v>546</v>
      </c>
      <c r="H32" s="1" t="s">
        <v>612</v>
      </c>
      <c r="I32" s="1" t="s">
        <v>8</v>
      </c>
    </row>
    <row r="33" spans="1:9" ht="28.8" x14ac:dyDescent="0.3">
      <c r="A33" s="51">
        <v>29</v>
      </c>
      <c r="B33" s="1" t="s">
        <v>600</v>
      </c>
      <c r="C33" s="51" t="s">
        <v>16</v>
      </c>
      <c r="D33" s="51" t="s">
        <v>563</v>
      </c>
      <c r="E33" s="1" t="s">
        <v>564</v>
      </c>
      <c r="F33" s="1" t="s">
        <v>565</v>
      </c>
      <c r="G33" s="1" t="s">
        <v>566</v>
      </c>
      <c r="H33" s="1" t="s">
        <v>567</v>
      </c>
      <c r="I33" s="1" t="s">
        <v>8</v>
      </c>
    </row>
    <row r="34" spans="1:9" ht="28.8" x14ac:dyDescent="0.3">
      <c r="A34" s="51">
        <v>30</v>
      </c>
      <c r="B34" s="1" t="s">
        <v>600</v>
      </c>
      <c r="C34" s="51" t="s">
        <v>16</v>
      </c>
      <c r="D34" s="51" t="s">
        <v>570</v>
      </c>
      <c r="E34" s="1" t="s">
        <v>571</v>
      </c>
      <c r="F34" s="1" t="s">
        <v>572</v>
      </c>
      <c r="G34" s="1" t="s">
        <v>523</v>
      </c>
      <c r="H34" s="1" t="s">
        <v>613</v>
      </c>
      <c r="I34" s="1" t="s">
        <v>8</v>
      </c>
    </row>
    <row r="35" spans="1:9" ht="28.8" x14ac:dyDescent="0.3">
      <c r="A35" s="51">
        <v>31</v>
      </c>
      <c r="B35" s="1" t="s">
        <v>614</v>
      </c>
      <c r="C35" s="51" t="s">
        <v>16</v>
      </c>
      <c r="D35" s="51" t="s">
        <v>449</v>
      </c>
      <c r="E35" s="1" t="s">
        <v>431</v>
      </c>
      <c r="F35" s="1" t="s">
        <v>450</v>
      </c>
      <c r="G35" s="1" t="s">
        <v>451</v>
      </c>
      <c r="H35" s="1" t="s">
        <v>615</v>
      </c>
      <c r="I35" s="1" t="s">
        <v>8</v>
      </c>
    </row>
    <row r="36" spans="1:9" ht="28.8" x14ac:dyDescent="0.3">
      <c r="A36" s="51">
        <v>32</v>
      </c>
      <c r="B36" s="1" t="s">
        <v>614</v>
      </c>
      <c r="C36" s="51" t="s">
        <v>16</v>
      </c>
      <c r="D36" s="51" t="s">
        <v>455</v>
      </c>
      <c r="E36" s="1" t="s">
        <v>431</v>
      </c>
      <c r="F36" s="1" t="s">
        <v>456</v>
      </c>
      <c r="G36" s="1" t="s">
        <v>457</v>
      </c>
      <c r="H36" s="1" t="s">
        <v>458</v>
      </c>
      <c r="I36" s="1" t="s">
        <v>8</v>
      </c>
    </row>
    <row r="37" spans="1:9" ht="28.8" x14ac:dyDescent="0.3">
      <c r="A37" s="51">
        <v>33</v>
      </c>
      <c r="B37" s="1" t="s">
        <v>614</v>
      </c>
      <c r="C37" s="51" t="s">
        <v>16</v>
      </c>
      <c r="D37" s="51" t="s">
        <v>461</v>
      </c>
      <c r="E37" s="1" t="s">
        <v>78</v>
      </c>
      <c r="F37" s="1" t="s">
        <v>462</v>
      </c>
      <c r="G37" s="1" t="s">
        <v>463</v>
      </c>
      <c r="H37" s="1" t="s">
        <v>464</v>
      </c>
      <c r="I37" s="1" t="s">
        <v>8</v>
      </c>
    </row>
    <row r="38" spans="1:9" ht="28.8" x14ac:dyDescent="0.3">
      <c r="A38" s="51">
        <v>34</v>
      </c>
      <c r="B38" s="1" t="s">
        <v>614</v>
      </c>
      <c r="C38" s="51" t="s">
        <v>16</v>
      </c>
      <c r="D38" s="51" t="s">
        <v>467</v>
      </c>
      <c r="E38" s="1" t="s">
        <v>468</v>
      </c>
      <c r="F38" s="1" t="s">
        <v>469</v>
      </c>
      <c r="G38" s="1" t="s">
        <v>470</v>
      </c>
      <c r="H38" s="1" t="s">
        <v>616</v>
      </c>
      <c r="I38" s="1" t="s">
        <v>8</v>
      </c>
    </row>
    <row r="39" spans="1:9" ht="28.8" x14ac:dyDescent="0.3">
      <c r="A39" s="51">
        <v>35</v>
      </c>
      <c r="B39" s="1" t="s">
        <v>617</v>
      </c>
      <c r="C39" s="51" t="s">
        <v>14</v>
      </c>
      <c r="D39" s="51" t="s">
        <v>309</v>
      </c>
      <c r="E39" s="1" t="s">
        <v>122</v>
      </c>
      <c r="F39" s="1" t="s">
        <v>310</v>
      </c>
      <c r="G39" s="1" t="s">
        <v>311</v>
      </c>
      <c r="H39" s="1" t="s">
        <v>312</v>
      </c>
      <c r="I39" s="1" t="s">
        <v>8</v>
      </c>
    </row>
    <row r="40" spans="1:9" ht="28.8" x14ac:dyDescent="0.3">
      <c r="A40" s="51">
        <v>36</v>
      </c>
      <c r="B40" s="1" t="s">
        <v>617</v>
      </c>
      <c r="C40" s="51" t="s">
        <v>14</v>
      </c>
      <c r="D40" s="51" t="s">
        <v>315</v>
      </c>
      <c r="E40" s="1" t="s">
        <v>316</v>
      </c>
      <c r="F40" s="1" t="s">
        <v>317</v>
      </c>
      <c r="G40" s="1" t="s">
        <v>318</v>
      </c>
      <c r="H40" s="1" t="s">
        <v>618</v>
      </c>
      <c r="I40" s="1" t="s">
        <v>8</v>
      </c>
    </row>
    <row r="41" spans="1:9" ht="28.8" x14ac:dyDescent="0.3">
      <c r="A41" s="51">
        <v>37</v>
      </c>
      <c r="B41" s="1" t="s">
        <v>617</v>
      </c>
      <c r="C41" s="51" t="s">
        <v>14</v>
      </c>
      <c r="D41" s="51" t="s">
        <v>322</v>
      </c>
      <c r="E41" s="1" t="s">
        <v>323</v>
      </c>
      <c r="F41" s="1" t="s">
        <v>324</v>
      </c>
      <c r="G41" s="1" t="s">
        <v>325</v>
      </c>
      <c r="H41" s="1" t="s">
        <v>619</v>
      </c>
      <c r="I41" s="1" t="s">
        <v>8</v>
      </c>
    </row>
    <row r="42" spans="1:9" ht="28.8" x14ac:dyDescent="0.3">
      <c r="A42" s="51">
        <v>38</v>
      </c>
      <c r="B42" s="1" t="s">
        <v>617</v>
      </c>
      <c r="C42" s="51" t="s">
        <v>14</v>
      </c>
      <c r="D42" s="51" t="s">
        <v>329</v>
      </c>
      <c r="E42" s="1" t="s">
        <v>330</v>
      </c>
      <c r="F42" s="1" t="s">
        <v>331</v>
      </c>
      <c r="G42" s="1" t="s">
        <v>332</v>
      </c>
      <c r="H42" s="1" t="s">
        <v>333</v>
      </c>
      <c r="I42" s="1" t="s">
        <v>8</v>
      </c>
    </row>
    <row r="43" spans="1:9" ht="28.8" x14ac:dyDescent="0.3">
      <c r="A43" s="51">
        <v>39</v>
      </c>
      <c r="B43" s="1" t="s">
        <v>617</v>
      </c>
      <c r="C43" s="51" t="s">
        <v>14</v>
      </c>
      <c r="D43" s="51" t="s">
        <v>336</v>
      </c>
      <c r="E43" s="1" t="s">
        <v>330</v>
      </c>
      <c r="F43" s="1" t="s">
        <v>337</v>
      </c>
      <c r="G43" s="1" t="s">
        <v>338</v>
      </c>
      <c r="H43" s="1" t="s">
        <v>620</v>
      </c>
      <c r="I43" s="1" t="s">
        <v>8</v>
      </c>
    </row>
    <row r="44" spans="1:9" ht="28.8" x14ac:dyDescent="0.3">
      <c r="A44" s="51">
        <v>40</v>
      </c>
      <c r="B44" s="1" t="s">
        <v>617</v>
      </c>
      <c r="C44" s="51" t="s">
        <v>14</v>
      </c>
      <c r="D44" s="51" t="s">
        <v>342</v>
      </c>
      <c r="E44" s="1" t="s">
        <v>330</v>
      </c>
      <c r="F44" s="1" t="s">
        <v>343</v>
      </c>
      <c r="G44" s="1" t="s">
        <v>344</v>
      </c>
      <c r="H44" s="1" t="s">
        <v>345</v>
      </c>
      <c r="I44" s="1" t="s">
        <v>8</v>
      </c>
    </row>
    <row r="45" spans="1:9" ht="28.8" x14ac:dyDescent="0.3">
      <c r="A45" s="51">
        <v>41</v>
      </c>
      <c r="B45" s="1" t="s">
        <v>617</v>
      </c>
      <c r="C45" s="51" t="s">
        <v>14</v>
      </c>
      <c r="D45" s="51" t="s">
        <v>348</v>
      </c>
      <c r="E45" s="1" t="s">
        <v>330</v>
      </c>
      <c r="F45" s="1" t="s">
        <v>349</v>
      </c>
      <c r="G45" s="1" t="s">
        <v>350</v>
      </c>
      <c r="H45" s="1" t="s">
        <v>621</v>
      </c>
      <c r="I45" s="1" t="s">
        <v>8</v>
      </c>
    </row>
    <row r="46" spans="1:9" ht="28.8" x14ac:dyDescent="0.3">
      <c r="A46" s="51">
        <v>42</v>
      </c>
      <c r="B46" s="1" t="s">
        <v>617</v>
      </c>
      <c r="C46" s="51" t="s">
        <v>14</v>
      </c>
      <c r="D46" s="51" t="s">
        <v>354</v>
      </c>
      <c r="E46" s="1" t="s">
        <v>330</v>
      </c>
      <c r="F46" s="1" t="s">
        <v>355</v>
      </c>
      <c r="G46" s="1" t="s">
        <v>356</v>
      </c>
      <c r="H46" s="1" t="s">
        <v>622</v>
      </c>
      <c r="I46" s="1" t="s">
        <v>8</v>
      </c>
    </row>
    <row r="47" spans="1:9" ht="28.8" x14ac:dyDescent="0.3">
      <c r="A47" s="51">
        <v>43</v>
      </c>
      <c r="B47" s="1" t="s">
        <v>623</v>
      </c>
      <c r="C47" s="51" t="s">
        <v>16</v>
      </c>
      <c r="D47" s="51" t="s">
        <v>507</v>
      </c>
      <c r="E47" s="1" t="s">
        <v>508</v>
      </c>
      <c r="F47" s="1" t="s">
        <v>509</v>
      </c>
      <c r="G47" s="1" t="s">
        <v>510</v>
      </c>
      <c r="H47" s="1" t="s">
        <v>624</v>
      </c>
      <c r="I47" s="1" t="s">
        <v>8</v>
      </c>
    </row>
    <row r="48" spans="1:9" ht="28.8" x14ac:dyDescent="0.3">
      <c r="A48" s="51">
        <v>44</v>
      </c>
      <c r="B48" s="1" t="s">
        <v>623</v>
      </c>
      <c r="C48" s="51" t="s">
        <v>16</v>
      </c>
      <c r="D48" s="51" t="s">
        <v>514</v>
      </c>
      <c r="E48" s="1" t="s">
        <v>508</v>
      </c>
      <c r="F48" s="1" t="s">
        <v>515</v>
      </c>
      <c r="G48" s="1" t="s">
        <v>516</v>
      </c>
      <c r="H48" s="1" t="s">
        <v>625</v>
      </c>
      <c r="I48" s="1" t="s">
        <v>8</v>
      </c>
    </row>
    <row r="49" spans="1:9" ht="28.8" x14ac:dyDescent="0.3">
      <c r="A49" s="51">
        <v>45</v>
      </c>
      <c r="B49" s="1" t="s">
        <v>623</v>
      </c>
      <c r="C49" s="51" t="s">
        <v>16</v>
      </c>
      <c r="D49" s="51" t="s">
        <v>520</v>
      </c>
      <c r="E49" s="1" t="s">
        <v>521</v>
      </c>
      <c r="F49" s="1" t="s">
        <v>522</v>
      </c>
      <c r="G49" s="1" t="s">
        <v>523</v>
      </c>
      <c r="H49" s="1" t="s">
        <v>626</v>
      </c>
      <c r="I49" s="1" t="s">
        <v>8</v>
      </c>
    </row>
    <row r="50" spans="1:9" ht="28.8" x14ac:dyDescent="0.3">
      <c r="A50" s="51">
        <v>46</v>
      </c>
      <c r="B50" s="1" t="s">
        <v>623</v>
      </c>
      <c r="C50" s="51" t="s">
        <v>16</v>
      </c>
      <c r="D50" s="51" t="s">
        <v>527</v>
      </c>
      <c r="E50" s="1" t="s">
        <v>521</v>
      </c>
      <c r="F50" s="1" t="s">
        <v>528</v>
      </c>
      <c r="G50" s="1" t="s">
        <v>523</v>
      </c>
      <c r="H50" s="1" t="s">
        <v>529</v>
      </c>
      <c r="I50" s="1" t="s">
        <v>8</v>
      </c>
    </row>
    <row r="51" spans="1:9" ht="28.8" x14ac:dyDescent="0.3">
      <c r="A51" s="51">
        <v>47</v>
      </c>
      <c r="B51" s="1" t="s">
        <v>623</v>
      </c>
      <c r="C51" s="51" t="s">
        <v>16</v>
      </c>
      <c r="D51" s="51" t="s">
        <v>532</v>
      </c>
      <c r="E51" s="1" t="s">
        <v>533</v>
      </c>
      <c r="F51" s="1" t="s">
        <v>534</v>
      </c>
      <c r="G51" s="1" t="s">
        <v>523</v>
      </c>
      <c r="H51" s="1" t="s">
        <v>535</v>
      </c>
      <c r="I51" s="1" t="s">
        <v>8</v>
      </c>
    </row>
    <row r="52" spans="1:9" ht="28.8" x14ac:dyDescent="0.3">
      <c r="A52" s="51">
        <v>48</v>
      </c>
      <c r="B52" s="1" t="s">
        <v>623</v>
      </c>
      <c r="C52" s="51" t="s">
        <v>16</v>
      </c>
      <c r="D52" s="51" t="s">
        <v>538</v>
      </c>
      <c r="E52" s="1" t="s">
        <v>533</v>
      </c>
      <c r="F52" s="1" t="s">
        <v>539</v>
      </c>
      <c r="G52" s="1" t="s">
        <v>523</v>
      </c>
      <c r="H52" s="1" t="s">
        <v>627</v>
      </c>
      <c r="I52" s="1" t="s">
        <v>8</v>
      </c>
    </row>
    <row r="53" spans="1:9" ht="28.8" x14ac:dyDescent="0.3">
      <c r="A53" s="51">
        <v>49</v>
      </c>
      <c r="B53" s="1" t="s">
        <v>623</v>
      </c>
      <c r="C53" s="51" t="s">
        <v>16</v>
      </c>
      <c r="D53" s="51" t="s">
        <v>575</v>
      </c>
      <c r="E53" s="1" t="s">
        <v>576</v>
      </c>
      <c r="F53" s="1" t="s">
        <v>577</v>
      </c>
      <c r="G53" s="1" t="s">
        <v>523</v>
      </c>
      <c r="H53" s="1" t="s">
        <v>578</v>
      </c>
      <c r="I53" s="1" t="s">
        <v>8</v>
      </c>
    </row>
    <row r="54" spans="1:9" x14ac:dyDescent="0.3">
      <c r="A54" s="51">
        <v>50</v>
      </c>
      <c r="B54" s="1" t="s">
        <v>628</v>
      </c>
      <c r="C54" s="51" t="s">
        <v>15</v>
      </c>
      <c r="D54" s="51" t="s">
        <v>361</v>
      </c>
      <c r="E54" s="1" t="s">
        <v>122</v>
      </c>
      <c r="F54" s="1" t="s">
        <v>362</v>
      </c>
      <c r="G54" s="1" t="s">
        <v>363</v>
      </c>
      <c r="H54" s="1" t="s">
        <v>364</v>
      </c>
      <c r="I54" s="1" t="s">
        <v>8</v>
      </c>
    </row>
    <row r="55" spans="1:9" ht="28.8" x14ac:dyDescent="0.3">
      <c r="A55" s="51">
        <v>51</v>
      </c>
      <c r="B55" s="1" t="s">
        <v>628</v>
      </c>
      <c r="C55" s="51" t="s">
        <v>15</v>
      </c>
      <c r="D55" s="51" t="s">
        <v>367</v>
      </c>
      <c r="E55" s="1" t="s">
        <v>368</v>
      </c>
      <c r="F55" s="1" t="s">
        <v>369</v>
      </c>
      <c r="G55" s="1" t="s">
        <v>370</v>
      </c>
      <c r="H55" s="1" t="s">
        <v>629</v>
      </c>
      <c r="I55" s="1" t="s">
        <v>8</v>
      </c>
    </row>
    <row r="56" spans="1:9" ht="28.8" x14ac:dyDescent="0.3">
      <c r="A56" s="51">
        <v>52</v>
      </c>
      <c r="B56" s="1" t="s">
        <v>628</v>
      </c>
      <c r="C56" s="51" t="s">
        <v>15</v>
      </c>
      <c r="D56" s="51" t="s">
        <v>374</v>
      </c>
      <c r="E56" s="1" t="s">
        <v>375</v>
      </c>
      <c r="F56" s="1" t="s">
        <v>376</v>
      </c>
      <c r="G56" s="1" t="s">
        <v>377</v>
      </c>
      <c r="H56" s="1" t="s">
        <v>630</v>
      </c>
      <c r="I56" s="1" t="s">
        <v>8</v>
      </c>
    </row>
    <row r="57" spans="1:9" x14ac:dyDescent="0.3">
      <c r="A57" s="51">
        <v>53</v>
      </c>
      <c r="B57" s="1" t="s">
        <v>628</v>
      </c>
      <c r="C57" s="51" t="s">
        <v>15</v>
      </c>
      <c r="D57" s="51" t="s">
        <v>381</v>
      </c>
      <c r="E57" s="1" t="s">
        <v>382</v>
      </c>
      <c r="F57" s="1" t="s">
        <v>383</v>
      </c>
      <c r="G57" s="1" t="s">
        <v>384</v>
      </c>
      <c r="H57" s="1" t="s">
        <v>631</v>
      </c>
      <c r="I57" s="1" t="s">
        <v>8</v>
      </c>
    </row>
    <row r="58" spans="1:9" ht="28.8" x14ac:dyDescent="0.3">
      <c r="A58" s="51">
        <v>54</v>
      </c>
      <c r="B58" s="1" t="s">
        <v>628</v>
      </c>
      <c r="C58" s="51" t="s">
        <v>15</v>
      </c>
      <c r="D58" s="51" t="s">
        <v>388</v>
      </c>
      <c r="E58" s="1" t="s">
        <v>389</v>
      </c>
      <c r="F58" s="1" t="s">
        <v>390</v>
      </c>
      <c r="G58" s="1" t="s">
        <v>391</v>
      </c>
      <c r="H58" s="1" t="s">
        <v>392</v>
      </c>
      <c r="I58" s="1" t="s">
        <v>8</v>
      </c>
    </row>
    <row r="59" spans="1:9" ht="28.8" x14ac:dyDescent="0.3">
      <c r="A59" s="51">
        <v>55</v>
      </c>
      <c r="B59" s="1" t="s">
        <v>628</v>
      </c>
      <c r="C59" s="51" t="s">
        <v>15</v>
      </c>
      <c r="D59" s="51" t="s">
        <v>395</v>
      </c>
      <c r="E59" s="1" t="s">
        <v>396</v>
      </c>
      <c r="F59" s="1" t="s">
        <v>397</v>
      </c>
      <c r="G59" s="1" t="s">
        <v>398</v>
      </c>
      <c r="H59" s="1" t="s">
        <v>632</v>
      </c>
      <c r="I59" s="1" t="s">
        <v>8</v>
      </c>
    </row>
    <row r="60" spans="1:9" ht="28.8" x14ac:dyDescent="0.3">
      <c r="A60" s="51">
        <v>56</v>
      </c>
      <c r="B60" s="1" t="s">
        <v>628</v>
      </c>
      <c r="C60" s="51" t="s">
        <v>15</v>
      </c>
      <c r="D60" s="51" t="s">
        <v>402</v>
      </c>
      <c r="E60" s="1" t="s">
        <v>403</v>
      </c>
      <c r="F60" s="1" t="s">
        <v>404</v>
      </c>
      <c r="G60" s="1" t="s">
        <v>405</v>
      </c>
      <c r="H60" s="1" t="s">
        <v>406</v>
      </c>
      <c r="I60" s="1" t="s">
        <v>8</v>
      </c>
    </row>
    <row r="61" spans="1:9" ht="28.8" x14ac:dyDescent="0.3">
      <c r="A61" s="51">
        <v>57</v>
      </c>
      <c r="B61" s="1" t="s">
        <v>633</v>
      </c>
      <c r="C61" s="51" t="s">
        <v>13</v>
      </c>
      <c r="D61" s="51" t="s">
        <v>128</v>
      </c>
      <c r="E61" s="1" t="s">
        <v>129</v>
      </c>
      <c r="F61" s="1" t="s">
        <v>130</v>
      </c>
      <c r="G61" s="1" t="s">
        <v>131</v>
      </c>
      <c r="H61" s="1" t="s">
        <v>634</v>
      </c>
      <c r="I61" s="1" t="s">
        <v>8</v>
      </c>
    </row>
    <row r="62" spans="1:9" ht="28.8" x14ac:dyDescent="0.3">
      <c r="A62" s="51">
        <v>58</v>
      </c>
      <c r="B62" s="1" t="s">
        <v>633</v>
      </c>
      <c r="C62" s="51" t="s">
        <v>13</v>
      </c>
      <c r="D62" s="51" t="s">
        <v>211</v>
      </c>
      <c r="E62" s="1" t="s">
        <v>212</v>
      </c>
      <c r="F62" s="1" t="s">
        <v>213</v>
      </c>
      <c r="G62" s="1" t="s">
        <v>214</v>
      </c>
      <c r="H62" s="1" t="s">
        <v>616</v>
      </c>
      <c r="I62" s="1" t="s">
        <v>8</v>
      </c>
    </row>
    <row r="63" spans="1:9" ht="28.8" x14ac:dyDescent="0.3">
      <c r="A63" s="51">
        <v>59</v>
      </c>
      <c r="B63" s="1" t="s">
        <v>633</v>
      </c>
      <c r="C63" s="51" t="s">
        <v>13</v>
      </c>
      <c r="D63" s="51" t="s">
        <v>218</v>
      </c>
      <c r="E63" s="1" t="s">
        <v>212</v>
      </c>
      <c r="F63" s="1" t="s">
        <v>219</v>
      </c>
      <c r="G63" s="1" t="s">
        <v>220</v>
      </c>
      <c r="H63" s="1" t="s">
        <v>221</v>
      </c>
      <c r="I63" s="1" t="s">
        <v>8</v>
      </c>
    </row>
    <row r="64" spans="1:9" ht="28.8" x14ac:dyDescent="0.3">
      <c r="A64" s="51">
        <v>60</v>
      </c>
      <c r="B64" s="1" t="s">
        <v>633</v>
      </c>
      <c r="C64" s="51" t="s">
        <v>13</v>
      </c>
      <c r="D64" s="51" t="s">
        <v>224</v>
      </c>
      <c r="E64" s="1" t="s">
        <v>212</v>
      </c>
      <c r="F64" s="1" t="s">
        <v>225</v>
      </c>
      <c r="G64" s="1" t="s">
        <v>226</v>
      </c>
      <c r="H64" s="1" t="s">
        <v>635</v>
      </c>
      <c r="I64" s="1" t="s">
        <v>8</v>
      </c>
    </row>
    <row r="65" spans="1:9" ht="28.8" x14ac:dyDescent="0.3">
      <c r="A65" s="51">
        <v>61</v>
      </c>
      <c r="B65" s="1" t="s">
        <v>633</v>
      </c>
      <c r="C65" s="51" t="s">
        <v>13</v>
      </c>
      <c r="D65" s="51" t="s">
        <v>242</v>
      </c>
      <c r="E65" s="1" t="s">
        <v>243</v>
      </c>
      <c r="F65" s="1" t="s">
        <v>244</v>
      </c>
      <c r="G65" s="1" t="s">
        <v>245</v>
      </c>
      <c r="H65" s="1" t="s">
        <v>636</v>
      </c>
      <c r="I65" s="1" t="s">
        <v>8</v>
      </c>
    </row>
    <row r="66" spans="1:9" ht="28.8" x14ac:dyDescent="0.3">
      <c r="A66" s="51">
        <v>62</v>
      </c>
      <c r="B66" s="1" t="s">
        <v>633</v>
      </c>
      <c r="C66" s="51" t="s">
        <v>13</v>
      </c>
      <c r="D66" s="51" t="s">
        <v>249</v>
      </c>
      <c r="E66" s="1" t="s">
        <v>250</v>
      </c>
      <c r="F66" s="1" t="s">
        <v>251</v>
      </c>
      <c r="G66" s="1" t="s">
        <v>252</v>
      </c>
      <c r="H66" s="1" t="s">
        <v>637</v>
      </c>
      <c r="I66" s="1" t="s">
        <v>8</v>
      </c>
    </row>
    <row r="67" spans="1:9" ht="28.8" x14ac:dyDescent="0.3">
      <c r="A67" s="51">
        <v>63</v>
      </c>
      <c r="B67" s="1" t="s">
        <v>633</v>
      </c>
      <c r="C67" s="51" t="s">
        <v>13</v>
      </c>
      <c r="D67" s="51" t="s">
        <v>256</v>
      </c>
      <c r="E67" s="1" t="s">
        <v>257</v>
      </c>
      <c r="F67" s="1" t="s">
        <v>258</v>
      </c>
      <c r="G67" s="1" t="s">
        <v>259</v>
      </c>
      <c r="H67" s="1" t="s">
        <v>638</v>
      </c>
      <c r="I67" s="1" t="s">
        <v>8</v>
      </c>
    </row>
    <row r="68" spans="1:9" ht="28.8" x14ac:dyDescent="0.3">
      <c r="A68" s="51">
        <v>64</v>
      </c>
      <c r="B68" s="1" t="s">
        <v>633</v>
      </c>
      <c r="C68" s="51" t="s">
        <v>13</v>
      </c>
      <c r="D68" s="51" t="s">
        <v>263</v>
      </c>
      <c r="E68" s="1" t="s">
        <v>264</v>
      </c>
      <c r="F68" s="1" t="s">
        <v>265</v>
      </c>
      <c r="G68" s="1" t="s">
        <v>266</v>
      </c>
      <c r="H68" s="1" t="s">
        <v>639</v>
      </c>
      <c r="I68" s="1" t="s">
        <v>8</v>
      </c>
    </row>
    <row r="69" spans="1:9" ht="28.8" x14ac:dyDescent="0.3">
      <c r="A69" s="51">
        <v>65</v>
      </c>
      <c r="B69" s="1" t="s">
        <v>633</v>
      </c>
      <c r="C69" s="51" t="s">
        <v>13</v>
      </c>
      <c r="D69" s="51" t="s">
        <v>270</v>
      </c>
      <c r="E69" s="1" t="s">
        <v>271</v>
      </c>
      <c r="F69" s="1" t="s">
        <v>272</v>
      </c>
      <c r="G69" s="1" t="s">
        <v>273</v>
      </c>
      <c r="H69" s="1" t="s">
        <v>640</v>
      </c>
      <c r="I69" s="1" t="s">
        <v>8</v>
      </c>
    </row>
    <row r="70" spans="1:9" ht="28.8" x14ac:dyDescent="0.3">
      <c r="A70" s="51">
        <v>66</v>
      </c>
      <c r="B70" s="1" t="s">
        <v>633</v>
      </c>
      <c r="C70" s="51" t="s">
        <v>13</v>
      </c>
      <c r="D70" s="51" t="s">
        <v>148</v>
      </c>
      <c r="E70" s="1" t="s">
        <v>136</v>
      </c>
      <c r="F70" s="1" t="s">
        <v>149</v>
      </c>
      <c r="G70" s="1" t="s">
        <v>150</v>
      </c>
      <c r="H70" s="1" t="s">
        <v>641</v>
      </c>
      <c r="I70" s="1" t="s">
        <v>8</v>
      </c>
    </row>
    <row r="71" spans="1:9" ht="28.8" x14ac:dyDescent="0.3">
      <c r="A71" s="51">
        <v>67</v>
      </c>
      <c r="B71" s="1" t="s">
        <v>633</v>
      </c>
      <c r="C71" s="51" t="s">
        <v>13</v>
      </c>
      <c r="D71" s="51" t="s">
        <v>277</v>
      </c>
      <c r="E71" s="1" t="s">
        <v>278</v>
      </c>
      <c r="F71" s="1" t="s">
        <v>279</v>
      </c>
      <c r="G71" s="1" t="s">
        <v>280</v>
      </c>
      <c r="H71" s="1" t="s">
        <v>642</v>
      </c>
      <c r="I71" s="1" t="s">
        <v>8</v>
      </c>
    </row>
    <row r="72" spans="1:9" ht="28.8" x14ac:dyDescent="0.3">
      <c r="A72" s="51">
        <v>68</v>
      </c>
      <c r="B72" s="1" t="s">
        <v>633</v>
      </c>
      <c r="C72" s="51" t="s">
        <v>13</v>
      </c>
      <c r="D72" s="51" t="s">
        <v>284</v>
      </c>
      <c r="E72" s="1" t="s">
        <v>285</v>
      </c>
      <c r="F72" s="1" t="s">
        <v>286</v>
      </c>
      <c r="G72" s="1" t="s">
        <v>287</v>
      </c>
      <c r="H72" s="1" t="s">
        <v>643</v>
      </c>
      <c r="I72" s="1" t="s">
        <v>8</v>
      </c>
    </row>
    <row r="73" spans="1:9" ht="28.8" x14ac:dyDescent="0.3">
      <c r="A73" s="51">
        <v>69</v>
      </c>
      <c r="B73" s="1" t="s">
        <v>633</v>
      </c>
      <c r="C73" s="51" t="s">
        <v>13</v>
      </c>
      <c r="D73" s="51" t="s">
        <v>291</v>
      </c>
      <c r="E73" s="1" t="s">
        <v>292</v>
      </c>
      <c r="F73" s="1" t="s">
        <v>293</v>
      </c>
      <c r="G73" s="1" t="s">
        <v>138</v>
      </c>
      <c r="H73" s="1" t="s">
        <v>644</v>
      </c>
      <c r="I73" s="1" t="s">
        <v>8</v>
      </c>
    </row>
    <row r="74" spans="1:9" ht="28.8" x14ac:dyDescent="0.3">
      <c r="A74" s="51">
        <v>70</v>
      </c>
      <c r="B74" s="1" t="s">
        <v>633</v>
      </c>
      <c r="C74" s="51" t="s">
        <v>13</v>
      </c>
      <c r="D74" s="51" t="s">
        <v>297</v>
      </c>
      <c r="E74" s="1" t="s">
        <v>298</v>
      </c>
      <c r="F74" s="1" t="s">
        <v>299</v>
      </c>
      <c r="G74" s="1" t="s">
        <v>280</v>
      </c>
      <c r="H74" s="1" t="s">
        <v>645</v>
      </c>
      <c r="I74" s="1" t="s">
        <v>8</v>
      </c>
    </row>
    <row r="75" spans="1:9" ht="28.8" x14ac:dyDescent="0.3">
      <c r="A75" s="51">
        <v>71</v>
      </c>
      <c r="B75" s="1" t="s">
        <v>633</v>
      </c>
      <c r="C75" s="51" t="s">
        <v>13</v>
      </c>
      <c r="D75" s="51" t="s">
        <v>303</v>
      </c>
      <c r="E75" s="1" t="s">
        <v>304</v>
      </c>
      <c r="F75" s="1" t="s">
        <v>305</v>
      </c>
      <c r="G75" s="1" t="s">
        <v>138</v>
      </c>
      <c r="H75" s="1" t="s">
        <v>646</v>
      </c>
      <c r="I75" s="1" t="s">
        <v>8</v>
      </c>
    </row>
  </sheetData>
  <mergeCells count="2">
    <mergeCell ref="A1:I1"/>
    <mergeCell ref="A2:I2"/>
  </mergeCells>
  <dataValidations count="1">
    <dataValidation type="list" sqref="I5:I75" xr:uid="{00000000-0002-0000-0800-000000000000}">
      <formula1>"Not Run,Pass,Fail,Blocked,N/A"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"/>
  <sheetViews>
    <sheetView workbookViewId="0">
      <selection sqref="A1:G1"/>
    </sheetView>
  </sheetViews>
  <sheetFormatPr defaultRowHeight="14.4" x14ac:dyDescent="0.3"/>
  <cols>
    <col min="1" max="1" width="6" customWidth="1"/>
    <col min="2" max="2" width="24" customWidth="1"/>
    <col min="3" max="3" width="45" customWidth="1"/>
    <col min="4" max="4" width="32" customWidth="1"/>
    <col min="5" max="5" width="14" customWidth="1"/>
    <col min="6" max="6" width="12" customWidth="1"/>
    <col min="7" max="7" width="36" customWidth="1"/>
  </cols>
  <sheetData>
    <row r="1" spans="1:7" ht="22.35" customHeight="1" x14ac:dyDescent="0.3">
      <c r="A1" s="56" t="s">
        <v>647</v>
      </c>
      <c r="B1" s="56"/>
      <c r="C1" s="56"/>
      <c r="D1" s="56"/>
      <c r="E1" s="56"/>
      <c r="F1" s="56"/>
      <c r="G1" s="56"/>
    </row>
    <row r="2" spans="1:7" ht="30.45" customHeight="1" x14ac:dyDescent="0.3">
      <c r="A2" s="57" t="s">
        <v>648</v>
      </c>
      <c r="B2" s="57"/>
      <c r="C2" s="57"/>
      <c r="D2" s="57"/>
      <c r="E2" s="57"/>
      <c r="F2" s="57"/>
      <c r="G2" s="57"/>
    </row>
    <row r="4" spans="1:7" x14ac:dyDescent="0.3">
      <c r="A4" s="50" t="s">
        <v>649</v>
      </c>
      <c r="B4" s="50" t="s">
        <v>650</v>
      </c>
      <c r="C4" s="50" t="s">
        <v>651</v>
      </c>
      <c r="D4" s="50" t="s">
        <v>652</v>
      </c>
      <c r="E4" s="50" t="s">
        <v>653</v>
      </c>
      <c r="F4" s="50" t="s">
        <v>2</v>
      </c>
      <c r="G4" s="50" t="s">
        <v>66</v>
      </c>
    </row>
    <row r="5" spans="1:7" ht="28.8" x14ac:dyDescent="0.3">
      <c r="A5" s="51">
        <v>1</v>
      </c>
      <c r="B5" s="1" t="s">
        <v>654</v>
      </c>
      <c r="C5" s="1" t="s">
        <v>655</v>
      </c>
      <c r="D5" s="1" t="s">
        <v>656</v>
      </c>
      <c r="E5" s="1" t="s">
        <v>657</v>
      </c>
      <c r="F5" s="1" t="s">
        <v>8</v>
      </c>
      <c r="G5" s="1" t="s">
        <v>658</v>
      </c>
    </row>
    <row r="6" spans="1:7" ht="28.8" x14ac:dyDescent="0.3">
      <c r="A6" s="51">
        <v>2</v>
      </c>
      <c r="B6" s="1" t="s">
        <v>659</v>
      </c>
      <c r="C6" s="1" t="s">
        <v>660</v>
      </c>
      <c r="D6" s="1" t="s">
        <v>661</v>
      </c>
      <c r="E6" s="1" t="s">
        <v>657</v>
      </c>
      <c r="F6" s="1" t="s">
        <v>8</v>
      </c>
      <c r="G6" s="1" t="s">
        <v>662</v>
      </c>
    </row>
    <row r="7" spans="1:7" ht="28.8" x14ac:dyDescent="0.3">
      <c r="A7" s="51">
        <v>3</v>
      </c>
      <c r="B7" s="1" t="s">
        <v>663</v>
      </c>
      <c r="C7" s="1" t="s">
        <v>664</v>
      </c>
      <c r="D7" s="1" t="s">
        <v>665</v>
      </c>
      <c r="E7" s="1" t="s">
        <v>657</v>
      </c>
      <c r="F7" s="1" t="s">
        <v>8</v>
      </c>
      <c r="G7" s="1" t="s">
        <v>666</v>
      </c>
    </row>
    <row r="8" spans="1:7" x14ac:dyDescent="0.3">
      <c r="A8" s="51">
        <v>4</v>
      </c>
      <c r="B8" s="1" t="s">
        <v>667</v>
      </c>
      <c r="C8" s="1" t="s">
        <v>668</v>
      </c>
      <c r="D8" s="1" t="s">
        <v>669</v>
      </c>
      <c r="E8" s="1" t="s">
        <v>657</v>
      </c>
      <c r="F8" s="1" t="s">
        <v>8</v>
      </c>
      <c r="G8" s="1" t="s">
        <v>670</v>
      </c>
    </row>
    <row r="9" spans="1:7" ht="28.8" x14ac:dyDescent="0.3">
      <c r="A9" s="51">
        <v>5</v>
      </c>
      <c r="B9" s="1" t="s">
        <v>671</v>
      </c>
      <c r="C9" s="1" t="s">
        <v>672</v>
      </c>
      <c r="D9" s="1" t="s">
        <v>673</v>
      </c>
      <c r="E9" s="1" t="s">
        <v>657</v>
      </c>
      <c r="F9" s="1" t="s">
        <v>8</v>
      </c>
      <c r="G9" s="1" t="s">
        <v>674</v>
      </c>
    </row>
    <row r="10" spans="1:7" ht="28.8" x14ac:dyDescent="0.3">
      <c r="A10" s="51">
        <v>6</v>
      </c>
      <c r="B10" s="1" t="s">
        <v>675</v>
      </c>
      <c r="C10" s="1" t="s">
        <v>676</v>
      </c>
      <c r="D10" s="1" t="s">
        <v>677</v>
      </c>
      <c r="E10" s="1" t="s">
        <v>657</v>
      </c>
      <c r="F10" s="1" t="s">
        <v>8</v>
      </c>
      <c r="G10" s="1" t="s">
        <v>678</v>
      </c>
    </row>
    <row r="11" spans="1:7" ht="28.8" x14ac:dyDescent="0.3">
      <c r="A11" s="51">
        <v>7</v>
      </c>
      <c r="B11" s="1" t="s">
        <v>205</v>
      </c>
      <c r="C11" s="1" t="s">
        <v>679</v>
      </c>
      <c r="D11" s="1" t="s">
        <v>680</v>
      </c>
      <c r="E11" s="1" t="s">
        <v>657</v>
      </c>
      <c r="F11" s="1" t="s">
        <v>8</v>
      </c>
      <c r="G11" s="1" t="s">
        <v>681</v>
      </c>
    </row>
    <row r="12" spans="1:7" ht="28.8" x14ac:dyDescent="0.3">
      <c r="A12" s="51">
        <v>8</v>
      </c>
      <c r="B12" s="1" t="s">
        <v>682</v>
      </c>
      <c r="C12" s="1" t="s">
        <v>683</v>
      </c>
      <c r="D12" s="1" t="s">
        <v>684</v>
      </c>
      <c r="E12" s="1" t="s">
        <v>657</v>
      </c>
      <c r="F12" s="1" t="s">
        <v>8</v>
      </c>
      <c r="G12" s="1" t="s">
        <v>685</v>
      </c>
    </row>
    <row r="13" spans="1:7" ht="28.8" x14ac:dyDescent="0.3">
      <c r="A13" s="51">
        <v>9</v>
      </c>
      <c r="B13" s="1" t="s">
        <v>686</v>
      </c>
      <c r="C13" s="1" t="s">
        <v>687</v>
      </c>
      <c r="D13" s="1" t="s">
        <v>688</v>
      </c>
      <c r="E13" s="1" t="s">
        <v>689</v>
      </c>
      <c r="F13" s="1" t="s">
        <v>8</v>
      </c>
      <c r="G13" s="1" t="s">
        <v>690</v>
      </c>
    </row>
    <row r="14" spans="1:7" ht="28.8" x14ac:dyDescent="0.3">
      <c r="A14" s="51">
        <v>10</v>
      </c>
      <c r="B14" s="1" t="s">
        <v>691</v>
      </c>
      <c r="C14" s="1" t="s">
        <v>692</v>
      </c>
      <c r="D14" s="1" t="s">
        <v>693</v>
      </c>
      <c r="E14" s="1" t="s">
        <v>689</v>
      </c>
      <c r="F14" s="1" t="s">
        <v>8</v>
      </c>
      <c r="G14" s="1" t="s">
        <v>694</v>
      </c>
    </row>
    <row r="15" spans="1:7" ht="28.8" x14ac:dyDescent="0.3">
      <c r="A15" s="51">
        <v>11</v>
      </c>
      <c r="B15" s="1" t="s">
        <v>695</v>
      </c>
      <c r="C15" s="1" t="s">
        <v>696</v>
      </c>
      <c r="D15" s="1" t="s">
        <v>697</v>
      </c>
      <c r="E15" s="1" t="s">
        <v>698</v>
      </c>
      <c r="F15" s="1" t="s">
        <v>8</v>
      </c>
      <c r="G15" s="1" t="s">
        <v>699</v>
      </c>
    </row>
    <row r="16" spans="1:7" ht="28.8" x14ac:dyDescent="0.3">
      <c r="A16" s="51">
        <v>12</v>
      </c>
      <c r="B16" s="1" t="s">
        <v>700</v>
      </c>
      <c r="C16" s="1" t="s">
        <v>701</v>
      </c>
      <c r="D16" s="1" t="s">
        <v>702</v>
      </c>
      <c r="E16" s="1" t="s">
        <v>657</v>
      </c>
      <c r="F16" s="1" t="s">
        <v>8</v>
      </c>
      <c r="G16" s="1" t="s">
        <v>703</v>
      </c>
    </row>
    <row r="17" spans="1:7" ht="28.8" x14ac:dyDescent="0.3">
      <c r="A17" s="51">
        <v>13</v>
      </c>
      <c r="B17" s="1" t="s">
        <v>704</v>
      </c>
      <c r="C17" s="1" t="s">
        <v>705</v>
      </c>
      <c r="D17" s="1" t="s">
        <v>706</v>
      </c>
      <c r="E17" s="1" t="s">
        <v>707</v>
      </c>
      <c r="F17" s="1" t="s">
        <v>8</v>
      </c>
      <c r="G17" s="1" t="s">
        <v>708</v>
      </c>
    </row>
    <row r="18" spans="1:7" ht="28.8" x14ac:dyDescent="0.3">
      <c r="A18" s="51">
        <v>14</v>
      </c>
      <c r="B18" s="1" t="s">
        <v>250</v>
      </c>
      <c r="C18" s="1" t="s">
        <v>709</v>
      </c>
      <c r="D18" s="1" t="s">
        <v>249</v>
      </c>
      <c r="E18" s="1" t="s">
        <v>710</v>
      </c>
      <c r="F18" s="1" t="s">
        <v>8</v>
      </c>
      <c r="G18" s="1" t="s">
        <v>711</v>
      </c>
    </row>
    <row r="19" spans="1:7" ht="28.8" x14ac:dyDescent="0.3">
      <c r="A19" s="51">
        <v>15</v>
      </c>
      <c r="B19" s="1" t="s">
        <v>712</v>
      </c>
      <c r="C19" s="1" t="s">
        <v>713</v>
      </c>
      <c r="D19" s="1" t="s">
        <v>270</v>
      </c>
      <c r="E19" s="1" t="s">
        <v>657</v>
      </c>
      <c r="F19" s="1" t="s">
        <v>8</v>
      </c>
      <c r="G19" s="1" t="s">
        <v>714</v>
      </c>
    </row>
  </sheetData>
  <mergeCells count="2">
    <mergeCell ref="A1:G1"/>
    <mergeCell ref="A2:G2"/>
  </mergeCells>
  <dataValidations count="1">
    <dataValidation type="list" sqref="F5:F19" xr:uid="{00000000-0002-0000-0900-000000000000}">
      <formula1>"Not Run,Ready,Pending,N/A"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Ringkasan</vt:lpstr>
      <vt:lpstr>Panduan</vt:lpstr>
      <vt:lpstr>Dropdown</vt:lpstr>
      <vt:lpstr>Referensi</vt:lpstr>
      <vt:lpstr>UAT_ADMIN</vt:lpstr>
      <vt:lpstr>UAT_CANTEEN</vt:lpstr>
      <vt:lpstr>UAT_VENDOR</vt:lpstr>
      <vt:lpstr>UAT_USER</vt:lpstr>
      <vt:lpstr>01_Urutan_UAT</vt:lpstr>
      <vt:lpstr>02_Data_Siap_UAT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IT18</cp:lastModifiedBy>
  <dcterms:created xsi:type="dcterms:W3CDTF">2026-08-25T16:17:21Z</dcterms:created>
  <dcterms:modified xsi:type="dcterms:W3CDTF">2026-08-25T16:17:22Z</dcterms:modified>
</cp:coreProperties>
</file>