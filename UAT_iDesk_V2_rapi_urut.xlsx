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F:\Program Bagas\SynologyDrive\iDesk-main\"/>
    </mc:Choice>
  </mc:AlternateContent>
  <xr:revisionPtr revIDLastSave="0" documentId="13_ncr:1_{10711CC6-B716-4440-B623-D5D9A1CE51EA}" xr6:coauthVersionLast="47" xr6:coauthVersionMax="47" xr10:uidLastSave="{00000000-0000-0000-0000-000000000000}"/>
  <bookViews>
    <workbookView xWindow="38280" yWindow="2085" windowWidth="29040" windowHeight="15720" firstSheet="1" activeTab="6" xr2:uid="{00000000-000D-0000-FFFF-FFFF00000000}"/>
  </bookViews>
  <sheets>
    <sheet name="Ringkasan" sheetId="1" r:id="rId1"/>
    <sheet name="Panduan" sheetId="2" r:id="rId2"/>
    <sheet name="Dropdown" sheetId="3" r:id="rId3"/>
    <sheet name="Referensi" sheetId="4" r:id="rId4"/>
    <sheet name="UAT_ADMIN" sheetId="5" r:id="rId5"/>
    <sheet name="UAT_MANAGER" sheetId="6" r:id="rId6"/>
    <sheet name="UAT_AGENT" sheetId="7" r:id="rId7"/>
    <sheet name="UAT_USER" sheetId="8" r:id="rId8"/>
    <sheet name="01_Urutan_UAT" sheetId="9" r:id="rId9"/>
    <sheet name="02_Data_Siap_UAT" sheetId="10" r:id="rId10"/>
  </sheets>
  <definedNames>
    <definedName name="_xlnm._FilterDatabase" localSheetId="8" hidden="1">'01_Urutan_UAT'!$A$4:$I$4</definedName>
    <definedName name="_xlnm._FilterDatabase" localSheetId="4" hidden="1">UAT_ADMIN!$A$2:$P$2</definedName>
    <definedName name="_xlnm._FilterDatabase" localSheetId="6" hidden="1">UAT_AGENT!$A$2:$P$2</definedName>
    <definedName name="_xlnm._FilterDatabase" localSheetId="5" hidden="1">UAT_MANAGER!$A$2:$P$2</definedName>
    <definedName name="_xlnm._FilterDatabase" localSheetId="7" hidden="1">UAT_USER!$A$2:$P$2</definedName>
    <definedName name="_xlnm.Print_Titles" localSheetId="8">'01_Urutan_UAT'!$1:$4</definedName>
    <definedName name="_xlnm.Print_Titles" localSheetId="4">UAT_ADMIN!$1:$2</definedName>
    <definedName name="_xlnm.Print_Titles" localSheetId="6">UAT_AGENT!$1:$2</definedName>
    <definedName name="_xlnm.Print_Titles" localSheetId="5">UAT_MANAGER!$1:$2</definedName>
    <definedName name="_xlnm.Print_Titles" localSheetId="7">UAT_USER!$1:$2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3" i="1" l="1"/>
  <c r="F23" i="1"/>
  <c r="E23" i="1"/>
  <c r="D23" i="1"/>
  <c r="C23" i="1"/>
  <c r="B23" i="1"/>
  <c r="F16" i="1"/>
  <c r="E16" i="1"/>
  <c r="D16" i="1"/>
  <c r="C16" i="1"/>
  <c r="B16" i="1"/>
  <c r="F15" i="1"/>
  <c r="E15" i="1"/>
  <c r="D15" i="1"/>
  <c r="C15" i="1"/>
  <c r="B15" i="1"/>
  <c r="F14" i="1"/>
  <c r="E14" i="1"/>
  <c r="D14" i="1"/>
  <c r="C14" i="1"/>
  <c r="B14" i="1"/>
  <c r="F13" i="1"/>
  <c r="E13" i="1"/>
  <c r="D13" i="1"/>
  <c r="C13" i="1"/>
  <c r="B13" i="1"/>
  <c r="G13" i="1" s="1"/>
  <c r="G15" i="1" l="1"/>
  <c r="G14" i="1"/>
  <c r="D17" i="1"/>
  <c r="B4" i="1"/>
  <c r="E3" i="1" s="1"/>
  <c r="G16" i="1"/>
  <c r="F17" i="1"/>
  <c r="E17" i="1"/>
  <c r="B5" i="1"/>
  <c r="E4" i="1" s="1"/>
  <c r="B6" i="1"/>
  <c r="E5" i="1" s="1"/>
  <c r="B17" i="1"/>
  <c r="B7" i="1"/>
  <c r="E6" i="1" s="1"/>
  <c r="C17" i="1"/>
  <c r="B3" i="1"/>
  <c r="B9" i="1" s="1"/>
  <c r="B8" i="1" l="1"/>
  <c r="G17" i="1"/>
</calcChain>
</file>

<file path=xl/sharedStrings.xml><?xml version="1.0" encoding="utf-8"?>
<sst xmlns="http://schemas.openxmlformats.org/spreadsheetml/2006/main" count="1572" uniqueCount="874">
  <si>
    <t>iDesk — Enterprise IT Helpdesk &amp; Operations Platform — UAT Summary</t>
  </si>
  <si>
    <t>Tanggal Template</t>
  </si>
  <si>
    <t>Status</t>
  </si>
  <si>
    <t>Jumlah</t>
  </si>
  <si>
    <t>Total Test Case</t>
  </si>
  <si>
    <t>Pass</t>
  </si>
  <si>
    <t>Fail</t>
  </si>
  <si>
    <t>Blocked</t>
  </si>
  <si>
    <t>Not Run</t>
  </si>
  <si>
    <t>N/A</t>
  </si>
  <si>
    <t>Pass Rate</t>
  </si>
  <si>
    <t>Role</t>
  </si>
  <si>
    <t>Total</t>
  </si>
  <si>
    <t>ADMIN</t>
  </si>
  <si>
    <t>MANAGER</t>
  </si>
  <si>
    <t>AGENT</t>
  </si>
  <si>
    <t>USER</t>
  </si>
  <si>
    <t>ALL</t>
  </si>
  <si>
    <t>Kategori</t>
  </si>
  <si>
    <t>Open Defect</t>
  </si>
  <si>
    <t>PANDUAN PENGISIAN UAT - iDesk Enterprise IT Helpdesk &amp; Operations Platform</t>
  </si>
  <si>
    <t>Kolom</t>
  </si>
  <si>
    <t>Cara Pengisian</t>
  </si>
  <si>
    <t>Keterangan</t>
  </si>
  <si>
    <t>Tindak Lanjut</t>
  </si>
  <si>
    <t>Test Case ID</t>
  </si>
  <si>
    <t>Nomor unik (ADM/MGR/AGN/USE-###). Jangan diubah kecuali tambah skenario baru.</t>
  </si>
  <si>
    <t>Hasil sesuai expected result.</t>
  </si>
  <si>
    <t>Tidak perlu defect.</t>
  </si>
  <si>
    <t>Pelaksana: ADMIN, MANAGER, AGENT (OPERATIONAL_SUPPORT/ORACLE/ADMIN), USER.</t>
  </si>
  <si>
    <t>Hasil tidak sesuai expected result.</t>
  </si>
  <si>
    <t>Buat defect ID + evidence.</t>
  </si>
  <si>
    <t>Modul/Fungsi</t>
  </si>
  <si>
    <t>Nama menu/fitur sesuai Blueprint V2 (Tiket, Hardware, eForm, VPN, Zoom, dsb.).</t>
  </si>
  <si>
    <t>Tidak bisa diuji karena dependensi/lingkungan belum siap.</t>
  </si>
  <si>
    <t>Catat blocker &amp; PIC.</t>
  </si>
  <si>
    <t>Skenario UAT</t>
  </si>
  <si>
    <t>Kondisi bisnis yang divalidasi — fokus pada hasil yang terlihat pengguna.</t>
  </si>
  <si>
    <t>Belum dijalankan.</t>
  </si>
  <si>
    <t>Masuk rencana eksekusi.</t>
  </si>
  <si>
    <t>Prasyarat</t>
  </si>
  <si>
    <t>Kondisi awal sebelum uji (akun aktif, data master tersedia, kuota/jadwal siap).</t>
  </si>
  <si>
    <t>Tidak relevan untuk scope UAT saat ini.</t>
  </si>
  <si>
    <t>Beri catatan alasan.</t>
  </si>
  <si>
    <t>Data Uji</t>
  </si>
  <si>
    <t>Data yang dipakai saat uji (akun uji, tiket dummy, file lampiran, tanggal/jam).</t>
  </si>
  <si>
    <t>Langkah Pengujian</t>
  </si>
  <si>
    <t>Urutan klik/aksi yang harus dilakukan tester (numbered step).</t>
  </si>
  <si>
    <t>Expected Result</t>
  </si>
  <si>
    <t>Hasil yang seharusnya muncul bila sistem berjalan benar.</t>
  </si>
  <si>
    <t>Actual Result</t>
  </si>
  <si>
    <t>Diisi tester sesuai hasil nyata di lapangan.</t>
  </si>
  <si>
    <t>Pilih dari dropdown: Not Run, Pass, Fail, Blocked, N/A.</t>
  </si>
  <si>
    <t>Severity</t>
  </si>
  <si>
    <t>Critical / High / Medium / Low — dampak bila gagal.</t>
  </si>
  <si>
    <t>Evidence/Link</t>
  </si>
  <si>
    <t>Screenshot/link bukti (wajib untuk Fail, opsional untuk Pass).</t>
  </si>
  <si>
    <t>Critical</t>
  </si>
  <si>
    <t>Administrator — akses penuh</t>
  </si>
  <si>
    <t>High</t>
  </si>
  <si>
    <t>Manager/Approver — persetujuan eForm/hardware/VPN</t>
  </si>
  <si>
    <t>Medium</t>
  </si>
  <si>
    <t>Agent Helpdesk — OPERATIONAL_SUPPORT / ORACLE / ADMIN</t>
  </si>
  <si>
    <t>Low</t>
  </si>
  <si>
    <t>Karyawan (USER) — pemohon layanan</t>
  </si>
  <si>
    <t>SYSTEM</t>
  </si>
  <si>
    <t>Sistem/Cron — proses otomatis (SLA, reminder)</t>
  </si>
  <si>
    <t>REFERENSI BLUEPRINT &amp; DEVELOPMENT DOCUMENT — iDesk V2 (09 MEI 2026) &amp; Dev Doc V1 (27 JULI 2026)</t>
  </si>
  <si>
    <t>Area Blueprint</t>
  </si>
  <si>
    <t>Ringkasan Acuan</t>
  </si>
  <si>
    <t>Role Terkait</t>
  </si>
  <si>
    <t>Catatan</t>
  </si>
  <si>
    <t>Manajemen Pengguna, Peran &amp; Akses (§1.2.1, §2.4)</t>
  </si>
  <si>
    <t>6 peran: ADMIN, MANAGER, AGENT_ADMIN, AGENT_OPERATIONAL_SUPPORT, AGENT_ORACLE, USER — terikat Department &amp; Site. Akses 3 lapis (Roles/Page-Access/Feature) + Site Guard &amp; IP Whitelist.</t>
  </si>
  <si>
    <t>ADMIN, MANAGER, AGENT, USER</t>
  </si>
  <si>
    <t>Halaman bisa dibuka/tutup per peran; lockout otomatis bila penolakan beruntun.</t>
  </si>
  <si>
    <t>Siklus Tiket Helpdesk (§1.2.2, §2.5.2, §2.6)</t>
  </si>
  <si>
    <t>Alur TODO → IN_PROGRESS → WAITING_VENDOR → RESOLVED/CANCELLED. SLA first response &amp; resolution berbasis jam kerja; auto-reassign bila response telat; breach ditandai otomatis.</t>
  </si>
  <si>
    <t>USER, AGENT, SYSTEM</t>
  </si>
  <si>
    <t>Label prioritas bisa dikustom admin; cegah tabrakan edit (optimistic locking).</t>
  </si>
  <si>
    <t>Permintaan Hardware &amp; Instalasi (§1.2.3, §2.5.3, §2.7)</t>
  </si>
  <si>
    <t>Alur DRAFT → SUBMITTED → REVIEWED → APPROVED/REJECTED → PROCURED → SCHEDULED → INSTALLED → AWAITING_CONFIRM → COMPLETED. Auto-confirm 24 jam bila user diam; reminder D-1/D-0 &amp; aging 07:00.</t>
  </si>
  <si>
    <t>USER, MANAGER, AGENT</t>
  </si>
  <si>
    <t>Kalender FullCalendar untuk pilih slot; konfirmasi: ACCEPT_AS_IS / REPORT_ISSUE.</t>
  </si>
  <si>
    <t>eForm, VPN &amp; Page Access (§1.2.4, §2.5.5, §2.8)</t>
  </si>
  <si>
    <t>eForm butuh 2 persetujuan manajer berurutan + tanda tangan digital; VPN &amp; page access cukup 1 approval. Page access lockout bila penolakan beruntun capai ambang.</t>
  </si>
  <si>
    <t>USER, MANAGER</t>
  </si>
  <si>
    <t>Kredensial terenkripsi; setiap approve/reject tercatat di audit.</t>
  </si>
  <si>
    <t>Booking Zoom Terpusat (§1.2.5, §2.5.6)</t>
  </si>
  <si>
    <t>Kelola akun Zoom via Server-to-Server OAuth; pesan slot di kalender, cegah bentrok 1 akun dipakai 2 meeting. Pembuatan via antrean + sinkron meeting luar tiap 5 menit.</t>
  </si>
  <si>
    <t>USER, ADMIN</t>
  </si>
  <si>
    <t>Audit peserta &amp; link meeting; sinkron via antrean latar.</t>
  </si>
  <si>
    <t>Knowledge Base (§1.2.6)</t>
  </si>
  <si>
    <t>Artikel punya visibilitas Public/Internal/Private &amp; status DRAFT/PUBLISHED/ARCHIVED, kategori/tag &amp; hitungan dilihat. Saved search untuk filter tiket favorit.</t>
  </si>
  <si>
    <t>USER, AGENT, ADMIN</t>
  </si>
  <si>
    <t>Editor TipTap + mention; hanya role berwenang bisa terbitkan.</t>
  </si>
  <si>
    <t>Otomasi &amp; SLA Monitoring (§1.2.7, §2.6, §2.11)</t>
  </si>
  <si>
    <t>Workflow rule event-driven (trigger-condition-action). Cron SLA tiap 10 &amp; 15 menit: warning dini &amp; tandai breach. Auto-assign pilih agent beban paling ringan (priority weight).</t>
  </si>
  <si>
    <t>ADMIN, SYSTEM</t>
  </si>
  <si>
    <t>Refresh token rotation; reassign otomatis bila first response lewat target.</t>
  </si>
  <si>
    <t>Dashboard, Laporan &amp; Audit Trail (§1.2.8, §2.22-2.23)</t>
  </si>
  <si>
    <t>Dashboard real-time, laporan PDF &amp; Excel + jadwal harian/mingguan/bulanan. Audit 40+ aksi (login, ubah tiket, approval eForm, dsb.) di audit_logs.</t>
  </si>
  <si>
    <t>ADMIN, MANAGER, SYSTEM</t>
  </si>
  <si>
    <t>Notifikasi 3 channel: in-app + email + web push via antrean latar.</t>
  </si>
  <si>
    <t>Infrastruktur, Keamanan &amp; Integrasi (§1.2.9, §2.19-2.24)</t>
  </si>
  <si>
    <t>Docker Compose (postgres, redis, backend, frontend). Keamanan: bcrypt, Helmet, throttling, validasi file, JWT rotation, lockout, audit. Integrasi: Zoom S2S, Google Workspace, Synology NAS, SMTP.</t>
  </si>
  <si>
    <t>Reverse proxy terminasi SSL; backup &amp; rotation otomatis tiap jam/harian.</t>
  </si>
  <si>
    <t>Kapasitas &amp; Teknologi (§2.1-2.3)</t>
  </si>
  <si>
    <t>1.000+ karyawan aktif, 100 koneksi DB konkuren, Redis + antrean, Socket.IO real-time, PWA offline cache, TanStack Query + Zustand, FullCalendar, TipTap.</t>
  </si>
  <si>
    <t>29 modul backend, 47 controller, 10 guard — arsitektur modular 4 lapis.</t>
  </si>
  <si>
    <t>Security</t>
  </si>
  <si>
    <t>JWT, RBAC, rate limiting, input validation, blacklist middleware, error handler.</t>
  </si>
  <si>
    <t>ALL, SYSTEM</t>
  </si>
  <si>
    <t>Termasuk negative test.</t>
  </si>
  <si>
    <t>Complaint/Announcement/Agreement</t>
  </si>
  <si>
    <t>Sistem mendukung complaint, pengumuman, terms/agreement.</t>
  </si>
  <si>
    <t>Validasi konten dan visibility.</t>
  </si>
  <si>
    <t>Kapasitas Sistem</t>
  </si>
  <si>
    <t>Mendukung &gt;2.500 karyawan aktif dan 50 koneksi konkuren PostgreSQL.</t>
  </si>
  <si>
    <t>Uji performa disesuaikan dengan environment UAT.</t>
  </si>
  <si>
    <t>UAT_ADMIN - USER ACCEPTANCE TEST</t>
  </si>
  <si>
    <t>Tester</t>
  </si>
  <si>
    <t>Tanggal Test</t>
  </si>
  <si>
    <t>Defect ID</t>
  </si>
  <si>
    <t>ADM-001</t>
  </si>
  <si>
    <t>Login &amp; Akses</t>
  </si>
  <si>
    <t>Admin berhasil login dan melihat menu administrasi lengkap.</t>
  </si>
  <si>
    <t>Akun ADMIN aktif.</t>
  </si>
  <si>
    <t>Akun admin yang masih aktif</t>
  </si>
  <si>
    <t>1. Buka halaman login
2. Masukkan akun admin
3. Klik Login
4. Periksa menu yang muncul</t>
  </si>
  <si>
    <t>Menu admin tampil lengkap: kelola pengguna, SLA, workflow, audit log, backup, pengaturan sistem, dsb. Menu role lain tidak ikut tampil.</t>
  </si>
  <si>
    <t>ADM-002</t>
  </si>
  <si>
    <t>Dashboard Admin</t>
  </si>
  <si>
    <t>Admin melihat ringkasan transaksi dan kinerja helpdesk.</t>
  </si>
  <si>
    <t>Ada data tiket &amp; permintaan di sistem.</t>
  </si>
  <si>
    <t>Periode tanggal aktif</t>
  </si>
  <si>
    <t>1. Buka Dashboard admin
2. Pilih periode tanggal</t>
  </si>
  <si>
    <t>Angka total tiket, tren, kepatuhan SLA, dan beban agent tampil sesuai data yang ada.</t>
  </si>
  <si>
    <t>ADM-003</t>
  </si>
  <si>
    <t>Kelola Pengguna</t>
  </si>
  <si>
    <t>Admin menambah akun pengguna baru.</t>
  </si>
  <si>
    <t>Admin sudah login.</t>
  </si>
  <si>
    <t>Data pengguna baru (nama, NIK, role, departemen, site)</t>
  </si>
  <si>
    <t>1. Buka Kelola Pengguna
2. Klik Tambah Pengguna
3. Isi data wajib
4. Simpan</t>
  </si>
  <si>
    <t>Pengguna baru tersimpan dengan role yang dipilih dan bisa dipakai login sesuai status aktif/nonaktif.</t>
  </si>
  <si>
    <t>ADM-004</t>
  </si>
  <si>
    <t>Admin mengubah data pengguna yang sudah ada.</t>
  </si>
  <si>
    <t>Ada pengguna di daftar.</t>
  </si>
  <si>
    <t>Perubahan departemen/status/role</t>
  </si>
  <si>
    <t>1. Buka detail pengguna
2. Ubah data yang perlu diubah
3. Simpan</t>
  </si>
  <si>
    <t>Perubahan tersimpan dan tercatat di riwayat audit (audit log).</t>
  </si>
  <si>
    <t>ADM-005</t>
  </si>
  <si>
    <t>Admin menonaktifkan akun pengguna.</t>
  </si>
  <si>
    <t>Ada pengguna aktif.</t>
  </si>
  <si>
    <t>Pilih status nonaktif</t>
  </si>
  <si>
    <t>1. Pilih pengguna
2. Ubah status menjadi nonaktif
3. Simpan
4. Coba login dengan akun tersebut</t>
  </si>
  <si>
    <t>Akun nonaktif tidak bisa login/menggunakan sistem.</t>
  </si>
  <si>
    <t>ADM-006</t>
  </si>
  <si>
    <t>Kelola Pengguna — Role</t>
  </si>
  <si>
    <t>Admin mengubah role pengguna (USER/MANAGER/AGENT/ADMIN).</t>
  </si>
  <si>
    <t>Ada pengguna.</t>
  </si>
  <si>
    <t>Role baru</t>
  </si>
  <si>
    <t>1. Edit role pengguna
2. Simpan
3. Login dengan akun tersebut</t>
  </si>
  <si>
    <t>Menu &amp; akses berubah sesuai role baru.</t>
  </si>
  <si>
    <t>ADM-007</t>
  </si>
  <si>
    <t>Kelola Pengguna — Import CSV</t>
  </si>
  <si>
    <t>Admin import banyak pengguna via file CSV.</t>
  </si>
  <si>
    <t>File CSV sesuai template.</t>
  </si>
  <si>
    <t>File CSV berisi beberapa pengguna</t>
  </si>
  <si>
    <t>1. Buka Import CSV
2. Upload file
3. Konfirmasi import</t>
  </si>
  <si>
    <t>Pengguna dari CSV berhasil dibuat; baris yang gagal diberi pesan jelas.</t>
  </si>
  <si>
    <t>ADM-008</t>
  </si>
  <si>
    <t>Department &amp; Site</t>
  </si>
  <si>
    <t>Admin menambah/mengubah departemen dan site (lokasi).</t>
  </si>
  <si>
    <t>Admin login.</t>
  </si>
  <si>
    <t>Nama departemen/site baru</t>
  </si>
  <si>
    <t>1. Buka Department/Site
2. Tambah atau ubah data
3. Simpan</t>
  </si>
  <si>
    <t>Data tersimpan dan bisa dipilih saat kelola pengguna/tiket.</t>
  </si>
  <si>
    <t>ADM-009</t>
  </si>
  <si>
    <t>SLA Configuration</t>
  </si>
  <si>
    <t>Admin mengatur target waktu first response &amp; resolution per prioritas.</t>
  </si>
  <si>
    <t>Prioritas (mis. Low/Medium/High) + target menit</t>
  </si>
  <si>
    <t>1. Buka SLA Configuration
2. Atur target per prioritas
3. Simpan</t>
  </si>
  <si>
    <t>Target tersimpan dan dipakai untuk hitung kepatuhan SLA tiket berikutnya.</t>
  </si>
  <si>
    <t>ADM-010</t>
  </si>
  <si>
    <t>Business Hours</t>
  </si>
  <si>
    <t>Admin mengatur jam kerja untuk perhitungan SLA.</t>
  </si>
  <si>
    <t>Jam kerja (mis. 08:00–17:00, hari aktif)</t>
  </si>
  <si>
    <t>1. Buka Business Hours
2. Atur jam &amp; hari kerja
3. Simpan</t>
  </si>
  <si>
    <t>SLA hanya menghitung di dalam jam kerja; di luar jam kerja tidak dihitung telat.</t>
  </si>
  <si>
    <t>ADM-011</t>
  </si>
  <si>
    <t>Workflow / Automation Rule</t>
  </si>
  <si>
    <t>Admin membuat aturan otomasi (mis. auto-assign tiket baru).</t>
  </si>
  <si>
    <t>Nama rule, trigger (mis. tiket dibuat), kondisi, aksi</t>
  </si>
  <si>
    <t>1. Buka Automation / Workflow Rules
2. Buat rule baru
3. Aktifkan &amp; simpan</t>
  </si>
  <si>
    <t>Rule aktif dan berjalan otomatis saat trigger terjadi; tercatat di riwayat eksekusi.</t>
  </si>
  <si>
    <t>ADM-012</t>
  </si>
  <si>
    <t>Workflow Rule</t>
  </si>
  <si>
    <t>Admin mengubah/menonaktifkan automation rule.</t>
  </si>
  <si>
    <t>Ada rule aktif.</t>
  </si>
  <si>
    <t>Perubahan kondisi/aksi atau nonaktifkan</t>
  </si>
  <si>
    <t>1. Buka daftar rule
2. Edit atau nonaktifkan
3. Simpan</t>
  </si>
  <si>
    <t>Perubahan berlaku; rule yang nonaktif tidak lagi dipicu.</t>
  </si>
  <si>
    <t>ADM-013</t>
  </si>
  <si>
    <t>Permissions &amp; Preset</t>
  </si>
  <si>
    <t>Admin mengatur preset &amp; izin fitur per pengguna.</t>
  </si>
  <si>
    <t>Preset/per-mission per fitur</t>
  </si>
  <si>
    <t>1. Buka Permissions
2. Atur preset atau izin per pengguna
3. Simpan</t>
  </si>
  <si>
    <t>Izin berlaku; pengguna hanya melihat/mengakses fitur yang diizinkan.</t>
  </si>
  <si>
    <t>ADM-014</t>
  </si>
  <si>
    <t>IP Whitelist</t>
  </si>
  <si>
    <t>Admin menambah daftar IP yang diizinkan untuk akses tertentu.</t>
  </si>
  <si>
    <t>Alamat IP/subnet</t>
  </si>
  <si>
    <t>1. Buka IP Whitelist
2. Tambah IP
3. Simpan</t>
  </si>
  <si>
    <t>IP tersimpan dan dipakai untuk membatasi akses sesuai aturan.</t>
  </si>
  <si>
    <t>ADM-015</t>
  </si>
  <si>
    <t>Audit Log</t>
  </si>
  <si>
    <t>Admin melihat riwayat aktivitas sistem dengan filter.</t>
  </si>
  <si>
    <t>Ada aktivitas (login, ubah tiket, approval, dsb.).</t>
  </si>
  <si>
    <t>Filter pengguna/aksi/tanggal</t>
  </si>
  <si>
    <t>1. Buka Audit Log
2. Terapkan filter</t>
  </si>
  <si>
    <t>Riwayat tampil sesuai filter dan tidak bisa diubah pengguna biasa.</t>
  </si>
  <si>
    <t>ADM-016</t>
  </si>
  <si>
    <t>System Settings</t>
  </si>
  <si>
    <t>Admin mengubah pengaturan global, branding, dan suara notifikasi.</t>
  </si>
  <si>
    <t>Logo/nama aplikasi/nada notifikasi</t>
  </si>
  <si>
    <t>1. Buka System Settings
2. Ubah branding/suara
3. Simpan</t>
  </si>
  <si>
    <t>Perubahan tampil di aplikasi sesuai konfigurasi.</t>
  </si>
  <si>
    <t>ADM-017</t>
  </si>
  <si>
    <t>Zoom Admin</t>
  </si>
  <si>
    <t>Admin menambah akun Zoom korporat dan mengatur kuota meeting.</t>
  </si>
  <si>
    <t>Email akun Zoom korporat</t>
  </si>
  <si>
    <t>1. Buka Zoom Admin
2. Tambah akun Zoom
3. Simpan</t>
  </si>
  <si>
    <t>Akun Zoom tersimpan dan bisa dipakai untuk booking meeting.</t>
  </si>
  <si>
    <t>ADM-018</t>
  </si>
  <si>
    <t>Synology Backup</t>
  </si>
  <si>
    <t>Admin mengatur target backup ke Synology NAS.</t>
  </si>
  <si>
    <t>Alamat/target backup NAS</t>
  </si>
  <si>
    <t>1. Buka Synology Backup
2. Isi target backup
3. Simpan/uji koneksi</t>
  </si>
  <si>
    <t>Konfigurasi tersimpan; backup &amp; rotasi berjalan tiap jam/harian sesuai jadwal.</t>
  </si>
  <si>
    <t>ADM-019</t>
  </si>
  <si>
    <t>Google Sync</t>
  </si>
  <si>
    <t>Admin mengatur sinkronisasi Google Spreadsheet.</t>
  </si>
  <si>
    <t>File service-account Google tersedia.</t>
  </si>
  <si>
    <t>Spreadsheet ID &amp; sheet tujuan</t>
  </si>
  <si>
    <t>1. Buka Google Sync
2. Isi konfigurasi spreadsheet
3. Simpan</t>
  </si>
  <si>
    <t>Sinkronisasi berjalan tiap 30 detik; log sync tercatat.</t>
  </si>
  <si>
    <t>ADM-020</t>
  </si>
  <si>
    <t>Reports</t>
  </si>
  <si>
    <t>Admin membuat laporan dan export PDF/Excel.</t>
  </si>
  <si>
    <t>Ada data transaksi/tiket.</t>
  </si>
  <si>
    <t>Filter periode/kategori</t>
  </si>
  <si>
    <t>1. Buka Reports
2. Pilih filter
3. Generate &amp; Export</t>
  </si>
  <si>
    <t>Laporan tampil dan file PDF/Excel berhasil diunduh sesuai filter.</t>
  </si>
  <si>
    <t>ADM-021</t>
  </si>
  <si>
    <t>Scheduled Reports</t>
  </si>
  <si>
    <t>Admin menjadwalkan laporan otomatis harian/mingguan/bulanan.</t>
  </si>
  <si>
    <t>Jadwal &amp; penerima laporan</t>
  </si>
  <si>
    <t>1. Buka Scheduled Reports
2. Atur jadwal
3. Simpan</t>
  </si>
  <si>
    <t>Laporan terjadwal terkirim sesuai jadwal (harian 07:00, mingguan, bulanan).</t>
  </si>
  <si>
    <t>ADM-022</t>
  </si>
  <si>
    <t>Health &amp; Monitoring</t>
  </si>
  <si>
    <t>Admin memantau status kesehatan sistem.</t>
  </si>
  <si>
    <t>—</t>
  </si>
  <si>
    <t>1. Buka Health/Monitoring</t>
  </si>
  <si>
    <t>Status server &amp; koneksi tampil (database, cache, uptime).</t>
  </si>
  <si>
    <t>ADM-023</t>
  </si>
  <si>
    <t>Page Access Control</t>
  </si>
  <si>
    <t>Halaman terbatas menolak akses yang tidak berhak; lockout bila penolakan beruntun.</t>
  </si>
  <si>
    <t>Pengguna tanpa izin halaman tersebut.</t>
  </si>
  <si>
    <t>Coba buka halaman terbatas</t>
  </si>
  <si>
    <t>1. Login sebagai pengguna tanpa izin
2. Coba buka halaman terbatas berulang kali</t>
  </si>
  <si>
    <t>Akses ditolak; bila beruntun melebihi ambang, akun terkunci sementara dan tercatat di audit.</t>
  </si>
  <si>
    <t>ADM-024</t>
  </si>
  <si>
    <t>Keamanan — Validasi File</t>
  </si>
  <si>
    <t>Upload file ditolak bila tipe file tidak sesuai (cek magic bytes).</t>
  </si>
  <si>
    <t>File dengan ekstensi palsu (mis. .jpg berisi script)</t>
  </si>
  <si>
    <t>1. Coba upload file palsu</t>
  </si>
  <si>
    <t>Sistem menolak upload dan menampilkan pesan tipe file tidak valid.</t>
  </si>
  <si>
    <t>ADM-025</t>
  </si>
  <si>
    <t>Notifikasi — Preferensi</t>
  </si>
  <si>
    <t>Admin/pengguna mengatur preferensi channel notifikasi (in-app/email/push).</t>
  </si>
  <si>
    <t>Pengguna login.</t>
  </si>
  <si>
    <t>Pilih channel aktif/nonaktif</t>
  </si>
  <si>
    <t>1. Buka Notification Preferences
2. Atur channel
3. Simpan</t>
  </si>
  <si>
    <t>Preferensi tersimpan; notifikasi hanya dikirim via channel yang aktif.</t>
  </si>
  <si>
    <t>ADM-026</t>
  </si>
  <si>
    <t>Sound Notification</t>
  </si>
  <si>
    <t>Admin upload nada notifikasi kustom.</t>
  </si>
  <si>
    <t>File audio nada baru</t>
  </si>
  <si>
    <t>1. Buka Sound Settings
2. Upload nada
3. Simpan</t>
  </si>
  <si>
    <t>Nada tersimpan dan dipakai untuk notifikasi.</t>
  </si>
  <si>
    <t>UAT_MANAGER - USER ACCEPTANCE TEST</t>
  </si>
  <si>
    <t>MGR-001</t>
  </si>
  <si>
    <t>Login &amp; Akses Manager</t>
  </si>
  <si>
    <t>Manager berhasil login dan melihat dashboard manager.</t>
  </si>
  <si>
    <t>Akun MANAGER aktif.</t>
  </si>
  <si>
    <t>Akun manager yang masih aktif</t>
  </si>
  <si>
    <t>1. Buka login
2. Masukkan akun manager
3. Periksa menu</t>
  </si>
  <si>
    <t>Dashboard manager tampil: ringkasan pengajuan eForm, hardware request, dan KPI tim.</t>
  </si>
  <si>
    <t>MGR-002</t>
  </si>
  <si>
    <t>Dashboard Manager</t>
  </si>
  <si>
    <t>Manager melihat ringkasan pengajuan yang butuh persetujuan.</t>
  </si>
  <si>
    <t>Ada pengajuan eForm/hardware yang pending.</t>
  </si>
  <si>
    <t>Filter periode/tim</t>
  </si>
  <si>
    <t>1. Buka Manager Dashboard
2. Lihat daftar pending approval</t>
  </si>
  <si>
    <t>Jumlah pengajuan pending tampil sesuai data.</t>
  </si>
  <si>
    <t>MGR-003</t>
  </si>
  <si>
    <t>MGR-004</t>
  </si>
  <si>
    <t>MGR-005</t>
  </si>
  <si>
    <t>Alasan penolakan</t>
  </si>
  <si>
    <t>MGR-006</t>
  </si>
  <si>
    <t>MGR-007</t>
  </si>
  <si>
    <t>Approval Hardware Request — Approve</t>
  </si>
  <si>
    <t>Manager menyetujui permintaan hardware.</t>
  </si>
  <si>
    <t>Ada hardware request status SUBMITTED/REVIEWED.</t>
  </si>
  <si>
    <t>Request pending approval</t>
  </si>
  <si>
    <t>1. Buka daftar hardware request
2. Pilih yang pending
3. Klik Approve</t>
  </si>
  <si>
    <t>Status lanjut ke PROCURED/proses pengadaan.</t>
  </si>
  <si>
    <t>MGR-008</t>
  </si>
  <si>
    <t>Approval Hardware Request — Reject</t>
  </si>
  <si>
    <t>Manager menolak permintaan hardware.</t>
  </si>
  <si>
    <t>Ada request pending.</t>
  </si>
  <si>
    <t>1. Buka request pending
2. Klik Reject
3. Isi alasan</t>
  </si>
  <si>
    <t>Status menjadi REJECTED; pemohon mendapat notifikasi.</t>
  </si>
  <si>
    <t>MGR-009</t>
  </si>
  <si>
    <t>Approval VPN Access — Approve</t>
  </si>
  <si>
    <t>Manager menyetujui permintaan akses VPN.</t>
  </si>
  <si>
    <t>Ada VPN request pending.</t>
  </si>
  <si>
    <t>Request pending</t>
  </si>
  <si>
    <t>1. Buka VPN Access
2. Approve request</t>
  </si>
  <si>
    <t>Status VPN menjadi approved; akses VPN diberikan.</t>
  </si>
  <si>
    <t>Approval VPN Access — Reject</t>
  </si>
  <si>
    <t>Manager menolak permintaan akses VPN.</t>
  </si>
  <si>
    <t>1. Buka VPN request
2. Reject + isi alasan</t>
  </si>
  <si>
    <t>Status rejected; pemohon mendapat notifikasi.</t>
  </si>
  <si>
    <t>MGR-011</t>
  </si>
  <si>
    <t>Laporan Eksekutif</t>
  </si>
  <si>
    <t>Manager melihat laporan agregat tim.</t>
  </si>
  <si>
    <t>Ada data tiket/request.</t>
  </si>
  <si>
    <t>Filter periode</t>
  </si>
  <si>
    <t>1. Buka Manager Reports
2. Pilih periode
3. Lihat ringkasan</t>
  </si>
  <si>
    <t>Laporan agregat tampil sesuai filter.</t>
  </si>
  <si>
    <t>Notifikasi Approval</t>
  </si>
  <si>
    <t>Manager mendapat notifikasi saat ada pengajuan baru yang butuh persetujuan.</t>
  </si>
  <si>
    <t>Ada pengajuan baru.</t>
  </si>
  <si>
    <t>Pengajuan baru dibuat user</t>
  </si>
  <si>
    <t>1. Buat pengajuan baru sebagai USER
2. Login sebagai MANAGER
3. Periksa notifikasi</t>
  </si>
  <si>
    <t>Notifikasi pengajuan baru muncul di manager (in-app/email sesuai preferensi).</t>
  </si>
  <si>
    <t>UAT_AGENT - USER ACCEPTANCE TEST</t>
  </si>
  <si>
    <t>AGN-001</t>
  </si>
  <si>
    <t>Login &amp; Akses Agent</t>
  </si>
  <si>
    <t>Agent berhasil login dan melihat papan tiket sesuai tipenya.</t>
  </si>
  <si>
    <t>Akun AGENT aktif.</t>
  </si>
  <si>
    <t>Akun agent (OPERATIONAL_SUPPORT / ORACLE / ADMIN)</t>
  </si>
  <si>
    <t>1. Login sebagai AGENT
2. Periksa menu &amp; papan tiket</t>
  </si>
  <si>
    <t>Papan tiket tampil; hanya tiket sesuai tipe agent yang terlihat (ORACLE agent hanya lihat ORACLE_REQUEST).</t>
  </si>
  <si>
    <t>AGN-002</t>
  </si>
  <si>
    <t>Papan Tiket — Kanban</t>
  </si>
  <si>
    <t>Agent melihat tiket di kolom kanban sesuai status.</t>
  </si>
  <si>
    <t>Ada tiket dengan berbagai status.</t>
  </si>
  <si>
    <t>1. Buka Ticket Board / Kanban</t>
  </si>
  <si>
    <t>Tiket tampil di kolom TODO / IN_PROGRESS / WAITING_VENDOR / RESOLVED sesuai statusnya.</t>
  </si>
  <si>
    <t>AGN-003</t>
  </si>
  <si>
    <t>Detail Tiket — Drawer</t>
  </si>
  <si>
    <t>Agent membuka detail tiket (percadangan, lampiran, riwayat).</t>
  </si>
  <si>
    <t>Ada tiket.</t>
  </si>
  <si>
    <t>ID tiket</t>
  </si>
  <si>
    <t>1. Klik tiket di kanban
2. Buka drawer detail</t>
  </si>
  <si>
    <t>Detail, percakapan, lampiran, dan riwayat status tampil lengkap.</t>
  </si>
  <si>
    <t>AGN-004</t>
  </si>
  <si>
    <t>Balas Tiket &amp; Internal Note</t>
  </si>
  <si>
    <t>Agent membalas tiket (publik) dan menulis internal note (hanya agent).</t>
  </si>
  <si>
    <t>Ada tiket assigned ke agent.</t>
  </si>
  <si>
    <t>Isi balasan + internal note</t>
  </si>
  <si>
    <t>1. Buka detail tiket
2. Tulis balasan publik
3. Tulis internal note
4. Kirim</t>
  </si>
  <si>
    <t>Balasan publik terlihat oleh pelapor; internal note hanya terlihat sesama agent.</t>
  </si>
  <si>
    <t>AGN-005</t>
  </si>
  <si>
    <t>Ubah Status Tiket</t>
  </si>
  <si>
    <t>Agent mengubah status tiket mengikuti alur yang benar.</t>
  </si>
  <si>
    <t>Tiket TODO/IN_PROGRESS.</t>
  </si>
  <si>
    <t>Ubah ke status berikutnya</t>
  </si>
  <si>
    <t>1. Buka detail tiket
2. Ubah status
3. Simpan</t>
  </si>
  <si>
    <t>Status berubah sesuai alur (TODO → IN_PROGRESS → WAITING_VENDOR → RESOLVED). Perubahan tercatat.</t>
  </si>
  <si>
    <t>AGN-006</t>
  </si>
  <si>
    <t>Time Tracking</t>
  </si>
  <si>
    <t>Agent mencatat waktu pengerjaan tiket.</t>
  </si>
  <si>
    <t>Ada tiket yang sedang dikerjakan.</t>
  </si>
  <si>
    <t>Jam mulai &amp; selesai</t>
  </si>
  <si>
    <t>1. Buka Time Tracking di detail tiket
2. Isi jam mulai/selesai
3. Simpan</t>
  </si>
  <si>
    <t>Durasi tercatat dan terhubung ke tiket &amp; teknisi.</t>
  </si>
  <si>
    <t>AGN-007</t>
  </si>
  <si>
    <t>Ticket Templates</t>
  </si>
  <si>
    <t>Agent memakai template siap pakai untuk balasan.</t>
  </si>
  <si>
    <t>Ada template yang dibuat admin/agent.</t>
  </si>
  <si>
    <t>Pilih template</t>
  </si>
  <si>
    <t>1. Buka detail tiket
2. Pilih template balasan
3. Kirim</t>
  </si>
  <si>
    <t>Isi template terisi otomatis di komposer balasan.</t>
  </si>
  <si>
    <t>AGN-008</t>
  </si>
  <si>
    <t>AGN-009</t>
  </si>
  <si>
    <t>Ticket Merge</t>
  </si>
  <si>
    <t>Agent menggabungkan tiket duplikat.</t>
  </si>
  <si>
    <t>Ada 2 tiket duplikat.</t>
  </si>
  <si>
    <t>Pilih tiket sumber &amp; target</t>
  </si>
  <si>
    <t>1. Pilih tiket duplikat
2. Merge ke tiket utama</t>
  </si>
  <si>
    <t>Tiket tergabung; riwayat merge tercatat.</t>
  </si>
  <si>
    <t>AGN-010</t>
  </si>
  <si>
    <t>Survei Kepuasan</t>
  </si>
  <si>
    <t>Pelapor mengisi survei setelah tiket RESOLVED.</t>
  </si>
  <si>
    <t>Tiket sudah RESOLVED.</t>
  </si>
  <si>
    <t>Rating &amp; feedback</t>
  </si>
  <si>
    <t>1. Buka tiket RESOLVED
2. Isi survei</t>
  </si>
  <si>
    <t>Rating &amp; feedback tersimpan terhubung ke tiket.</t>
  </si>
  <si>
    <t>AGN-011</t>
  </si>
  <si>
    <t>Kalender Instalasi Hardware</t>
  </si>
  <si>
    <t>Agent/teknisi melihat jadwal instalasi di kalender.</t>
  </si>
  <si>
    <t>Ada jadwal instalasi.</t>
  </si>
  <si>
    <t>Periode kalender</t>
  </si>
  <si>
    <t>1. Buka Installation Calendar
2. Pilih tanggal/periode</t>
  </si>
  <si>
    <t>Jadwal instalasi tampil di kalender (FullCalendar) sesuai slot yang dijadwalkan.</t>
  </si>
  <si>
    <t>AGN-012</t>
  </si>
  <si>
    <t>Penjadwalan Instalasi</t>
  </si>
  <si>
    <t>Teknisi menjadwalkan instalasi untuk request yang sudah PROCURED.</t>
  </si>
  <si>
    <t>Request status PROCURED.</t>
  </si>
  <si>
    <t>Tanggal/jam slot + teknisi</t>
  </si>
  <si>
    <t>1. Buka detail request PROCURED
2. Atur jadwal instalasi
3. Simpan</t>
  </si>
  <si>
    <t>Jadwal tersimpan; pemohon mendapat notifikasi &amp; bisa pilih slot.</t>
  </si>
  <si>
    <t>AGN-013</t>
  </si>
  <si>
    <t>Tandai Instalasi Selesai</t>
  </si>
  <si>
    <t>Teknisi menandai instalasi sudah selesai di lapangan.</t>
  </si>
  <si>
    <t>Jadwal instalasi sudah lewat/waktunya.</t>
  </si>
  <si>
    <t>1. Buka jadwal/request
2. Klik Mark as Installed</t>
  </si>
  <si>
    <t>Status menjadi INSTALLED + AWAITING_CONFIRM; pemohon diminta konfirmasi dalam 24 jam.</t>
  </si>
  <si>
    <t>AGN-014</t>
  </si>
  <si>
    <t>Workload Dashboard</t>
  </si>
  <si>
    <t>Agent/manager melihat beban kerja harian agent.</t>
  </si>
  <si>
    <t>Ada tiket assigned ke beberapa agent.</t>
  </si>
  <si>
    <t>Tanggal</t>
  </si>
  <si>
    <t>1. Buka Workload Dashboard
2. Pilih tanggal</t>
  </si>
  <si>
    <t>Beban harian per agent tampil (dihitung dari prioritas &amp; jumlah tiket aktif).</t>
  </si>
  <si>
    <t>AGN-015</t>
  </si>
  <si>
    <t>Knowledge Base — Authoring</t>
  </si>
  <si>
    <t>Agent/admin menulis artikel Knowledge Base dan menerbitkan.</t>
  </si>
  <si>
    <t>Akun dengan izin tulis KB.</t>
  </si>
  <si>
    <t>Judul, isi, kategori, visibilitas</t>
  </si>
  <si>
    <t>1. Buka Knowledge Base Manage
2. Buat artikel baru (DRAFT)
3. Publish</t>
  </si>
  <si>
    <t>Artikel terbit dengan visibilitas sesuai setting (Public/Internal/Private) dan bisa dicari.</t>
  </si>
  <si>
    <t>AGN-016</t>
  </si>
  <si>
    <t>Auto-Assign Tiket</t>
  </si>
  <si>
    <t>Tiket baru otomatis ditugaskan ke agent dengan beban paling ringan.</t>
  </si>
  <si>
    <t>Workflow rule auto-assign aktif.</t>
  </si>
  <si>
    <t>Buat tiket baru</t>
  </si>
  <si>
    <t>1. Buat tiket baru sebagai USER
2. Periksa assignment</t>
  </si>
  <si>
    <t>Tiket otomatis ter-assign ke agent dengan workload terendah; tercatat di workload harian.</t>
  </si>
  <si>
    <t>AGN-017</t>
  </si>
  <si>
    <t>SLA Warning &amp; Breach</t>
  </si>
  <si>
    <t>Tiket yang mendekati/melewati target SLA mendapat warning &amp; flag breach.</t>
  </si>
  <si>
    <t>SLA config sudah diisi.</t>
  </si>
  <si>
    <t>Tiket yang umurnya mendekati target</t>
  </si>
  <si>
    <t>1. Buat tiket
2. Tunggu cron SLA (10/15 menit)
3. Periksa status SLA</t>
  </si>
  <si>
    <t>Warning terkirim; tiket yang lewat target ditandai breach &amp; bisa auto-reassign.</t>
  </si>
  <si>
    <t>AGN-018</t>
  </si>
  <si>
    <t>Notifikasi Assignment</t>
  </si>
  <si>
    <t>Agent mendapat notifikasi saat tiket ditugaskan kepadanya.</t>
  </si>
  <si>
    <t>Agent login &amp; preferensi notifikasi aktif.</t>
  </si>
  <si>
    <t>Tiket di-assign ke agent</t>
  </si>
  <si>
    <t>1. Assign tiket ke agent
2. Periksa notifikasi agent</t>
  </si>
  <si>
    <t>Notifikasi assignment muncul (in-app/email/push sesuai preferensi).</t>
  </si>
  <si>
    <t>AGN-019</t>
  </si>
  <si>
    <t>Real-time Update</t>
  </si>
  <si>
    <t>Perubahan tiket/request muncul langsung tanpa refresh (WebSocket).</t>
  </si>
  <si>
    <t>Dua sesi login (agent &amp; user).</t>
  </si>
  <si>
    <t>Ubah status/balas tiket</t>
  </si>
  <si>
    <t>1. Buka papan tiket di 2 browser
2. Ubah status di salah satu
3. Lihat di browser lain</t>
  </si>
  <si>
    <t>Perubahan muncul langsung di kedua sesi tanpa refresh.</t>
  </si>
  <si>
    <t>UAT_USER - USER ACCEPTANCE TEST</t>
  </si>
  <si>
    <t>USE-001</t>
  </si>
  <si>
    <t>Login</t>
  </si>
  <si>
    <t>Karyawan berhasil login dengan akun yang valid.</t>
  </si>
  <si>
    <t>Akun USER aktif.</t>
  </si>
  <si>
    <t>Akun USER yang masih aktif</t>
  </si>
  <si>
    <t>1. Buka halaman login
2. Masukkan NIK/email &amp; password
3. Klik Login</t>
  </si>
  <si>
    <t>Login berhasil; masuk ke Dashboard pribadi; riwayat login tercatat.</t>
  </si>
  <si>
    <t>USE-002</t>
  </si>
  <si>
    <t>Login — Gagal</t>
  </si>
  <si>
    <t>Login gagal bila password salah; akun terkunci bila salah berulang.</t>
  </si>
  <si>
    <t>Akun USER ada.</t>
  </si>
  <si>
    <t>Password salah</t>
  </si>
  <si>
    <t>1. Masukkan password salah berulang kali</t>
  </si>
  <si>
    <t>Sistem menolak login dan menampilkan pesan; bila beruntun, akun terkunci sementara.</t>
  </si>
  <si>
    <t>USE-003</t>
  </si>
  <si>
    <t>Dashboard Pribadi</t>
  </si>
  <si>
    <t>Karyawan melihat ringkasan tiket miliknya &amp; action items.</t>
  </si>
  <si>
    <t>Karyawan sudah login &amp; punya tiket.</t>
  </si>
  <si>
    <t>1. Buka Dashboard
2. Lihat ringkasan</t>
  </si>
  <si>
    <t>Ringkasaan tiket pribadi, action items, dan notifikasi tampil sesuai data miliknya.</t>
  </si>
  <si>
    <t>USE-004</t>
  </si>
  <si>
    <t>Buat Tiket</t>
  </si>
  <si>
    <t>Karyawan membuat tiket helpdesk dengan kategori &amp; prioritas.</t>
  </si>
  <si>
    <t>Karyawan login.</t>
  </si>
  <si>
    <t>Judul, deskripsi, kategori, prioritas, lampiran (opsional)</t>
  </si>
  <si>
    <t>1. Buka Buat Tiket
2. Isi form
3. Lampirkan file bila perlu
4. Kirim</t>
  </si>
  <si>
    <t>Tiket terbuat dengan nomor tiket, status TODO, dan SLA mulai dihitung.</t>
  </si>
  <si>
    <t>USE-005</t>
  </si>
  <si>
    <t>Buat Tiket Oracle/K2</t>
  </si>
  <si>
    <t>Karyawan membuat tiket tipe Oracle/K2.</t>
  </si>
  <si>
    <t>Pilih tipe ORACLE_REQUEST, isi form</t>
  </si>
  <si>
    <t>1. Buka Buat Tiket
2. Pilih tipe Oracle/K2
3. Isi &amp; kirim</t>
  </si>
  <si>
    <t>Tiket Oracle/K2 terbuat dan hanya terlihat oleh agent Oracle.</t>
  </si>
  <si>
    <t>USE-006</t>
  </si>
  <si>
    <t>Riwayat Tiket</t>
  </si>
  <si>
    <t>Karyawan melihat daftar tiket miliknya dengan filter status.</t>
  </si>
  <si>
    <t>Karyawan punya beberapa tiket.</t>
  </si>
  <si>
    <t>Filter status (TODO/IN_PROGRESS/dsb.)</t>
  </si>
  <si>
    <t>1. Buka My Tickets
2. Terapkan filter status</t>
  </si>
  <si>
    <t>Hanya tiket miliknya yang tampil, sesuai filter.</t>
  </si>
  <si>
    <t>USE-007</t>
  </si>
  <si>
    <t>Balas Tiket</t>
  </si>
  <si>
    <t>Karyawan membalas percakapan di tiket miliknya.</t>
  </si>
  <si>
    <t>Ada tiket miliknya yang IN_PROGRESS.</t>
  </si>
  <si>
    <t>Isi balasan</t>
  </si>
  <si>
    <t>1. Buka detail tiket
2. Tulis balasan
3. Kirim</t>
  </si>
  <si>
    <t>Balasan terkirim dan terlihat di riwayat percakapan tiket.</t>
  </si>
  <si>
    <t>USE-008</t>
  </si>
  <si>
    <t>Permintaan Hardware</t>
  </si>
  <si>
    <t>Karyawan mengajukan permintaan hardware ICT.</t>
  </si>
  <si>
    <t>Jenis barang, jumlah, justifikasi, lokasi</t>
  </si>
  <si>
    <t>1. Buka Hardware Request → New
2. Isi form &amp; daftar barang
3. Kirim</t>
  </si>
  <si>
    <t>Request terbuat dengan nomor, status DRAFT/SUBMITTED, menunggu persetujuan manager.</t>
  </si>
  <si>
    <t>USE-009</t>
  </si>
  <si>
    <t>Pilih Slot Instalasi</t>
  </si>
  <si>
    <t>Karyawan memilih slot jadwal yang ditawarkan teknisi.</t>
  </si>
  <si>
    <t>Request sudah SCHEDULED (ada slot).</t>
  </si>
  <si>
    <t>Pilih salah satu slot</t>
  </si>
  <si>
    <t>1. Buka detail hardware request
2. Pilih slot yang tersedia
3. Konfirmasi</t>
  </si>
  <si>
    <t>Slot terpilih tersimpan; teknisi mendapat notifikasi.</t>
  </si>
  <si>
    <t>USE-010</t>
  </si>
  <si>
    <t>Konfirmasi Instalasi — Terima</t>
  </si>
  <si>
    <t>Karyawan konfirmasi instalasi sudah beres (ACCEPT_AS_IS).</t>
  </si>
  <si>
    <t>Instalasi sudah ditandai selesai (AWAITING_CONFIRM).</t>
  </si>
  <si>
    <t>Klik Accept</t>
  </si>
  <si>
    <t>1. Buka detail request
2. Klik Accept As Is</t>
  </si>
  <si>
    <t>Status menjadi COMPLETED; tercatat waktu konfirmasi.</t>
  </si>
  <si>
    <t>USE-011</t>
  </si>
  <si>
    <t>Konfirmasi Instalasi — Lapor Masalah</t>
  </si>
  <si>
    <t>Karyawan lapor masalah setelah instalasi (REPORT_ISSUE).</t>
  </si>
  <si>
    <t>Instalasi AWAITING_CONFIRM.</t>
  </si>
  <si>
    <t>Deskripsi masalah</t>
  </si>
  <si>
    <t>1. Buka detail request
2. Klik Report Issue
3. Isi masalah</t>
  </si>
  <si>
    <t>Laporan tercatat; request tidak auto-complete, menunggu tindak lanjut.</t>
  </si>
  <si>
    <t>USE-012</t>
  </si>
  <si>
    <t>Auto-Confirm 24 Jam</t>
  </si>
  <si>
    <t>Bila karyawan diam 24 jam setelah teknisi tandai selesai, sistem anggap diterima.</t>
  </si>
  <si>
    <t>Instalasi ditandai selesai 24 jam lalu tanpa konfirmasi.</t>
  </si>
  <si>
    <t>— (tunggu cron 5 menit)</t>
  </si>
  <si>
    <t>1. Tandai instalasi selesai
2. Diamkan 24 jam
3. Periksa status</t>
  </si>
  <si>
    <t>Status otomatis menjadi COMPLETED (ACCEPT_AS_IS implisit) oleh cron.</t>
  </si>
  <si>
    <t>USE-013</t>
  </si>
  <si>
    <t>eForm Request</t>
  </si>
  <si>
    <t>Karyawan mengajukan eForm akses aplikasi/form internal.</t>
  </si>
  <si>
    <t>Jenis form, alasan, lampiran</t>
  </si>
  <si>
    <t>1. Buka Request Center → eForm New
2. Isi form
3. Kirim</t>
  </si>
  <si>
    <t>eForm terbuat, status menunggu approval Manager 1, mendapat nomor request.</t>
  </si>
  <si>
    <t>USE-014</t>
  </si>
  <si>
    <t>VPN Access Request</t>
  </si>
  <si>
    <t>Karyawan mengajukan akses VPN.</t>
  </si>
  <si>
    <t>Keperluan &amp; durasi VPN</t>
  </si>
  <si>
    <t>1. Buka VPN Access
2. Isi form
3. Kirim</t>
  </si>
  <si>
    <t>Request VPN terbuat, menunggu approval manager.</t>
  </si>
  <si>
    <t>USE-015</t>
  </si>
  <si>
    <t>Page Access Request</t>
  </si>
  <si>
    <t>Karyawan mengajukan akses halaman/fitur terbatas.</t>
  </si>
  <si>
    <t>Halaman/fitur yang diminta</t>
  </si>
  <si>
    <t>1. Buka Access Request
2. Pilih halaman/fitur
3. Kirim</t>
  </si>
  <si>
    <t>Request akses terbuat, menunggu approval.</t>
  </si>
  <si>
    <t>USE-016</t>
  </si>
  <si>
    <t>Booking Zoom</t>
  </si>
  <si>
    <t>Karyawan memesan slot Zoom korporat via kalender.</t>
  </si>
  <si>
    <t>Akun Zoom korporat tersedia.</t>
  </si>
  <si>
    <t>Judul meeting, tanggal, jam mulai/selesai</t>
  </si>
  <si>
    <t>1. Buka Zoom Calendar
2. Pilih tanggal &amp; jam
3. Isi judul &amp; pesan slot</t>
  </si>
  <si>
    <t>Booking terbuat; meeting Zoom dibuat via antrean; link &amp; info meeting tampil. Bentrok jadwal ditolak.</t>
  </si>
  <si>
    <t>USE-017</t>
  </si>
  <si>
    <t>Booking Zoom — Cegah Bentrok</t>
  </si>
  <si>
    <t>Sistem menolak booking bila jam bentrok di akun Zoom yang sama.</t>
  </si>
  <si>
    <t>Ada booking di jam yang sama.</t>
  </si>
  <si>
    <t>Coba pesan jam yang sama</t>
  </si>
  <si>
    <t>1. Buat booking pertama
2. Coba booking kedua di jam yang sama (akun sama)</t>
  </si>
  <si>
    <t>Booking kedua ditolak dengan pesan jadwal bentrok.</t>
  </si>
  <si>
    <t>USE-018</t>
  </si>
  <si>
    <t>Knowledge Base — Baca &amp; Cari</t>
  </si>
  <si>
    <t>Karyawan mencari &amp; membaca artikel Knowledge Base.</t>
  </si>
  <si>
    <t>Ada artikel PUBLISHED.</t>
  </si>
  <si>
    <t>Kata kunci pencarian</t>
  </si>
  <si>
    <t>1. Buka Knowledge Base
2. Cari dengan kata kunci
3. Buka artikel</t>
  </si>
  <si>
    <t>Artikel tampil sesuai visibilitas (Public/Internal); hitungan dilihat bertambah.</t>
  </si>
  <si>
    <t>USE-019</t>
  </si>
  <si>
    <t>Notifikasi</t>
  </si>
  <si>
    <t>Karyawan menerima &amp; membaca notifikasi (in-app/email/push).</t>
  </si>
  <si>
    <t>Ada notifikasi untuk user tersebut.</t>
  </si>
  <si>
    <t>1. Buka Notification Center
2. Tandai sudah dibaca</t>
  </si>
  <si>
    <t>Notifikasi tampil; status dibaca tersimpan; preferensi channel dihormati.</t>
  </si>
  <si>
    <t>USE-020</t>
  </si>
  <si>
    <t>Profil &amp; Preferensi</t>
  </si>
  <si>
    <t>Karyawan mengubah password, foto, dan preferensi notifikasi.</t>
  </si>
  <si>
    <t>Password baru/foto/preferensi</t>
  </si>
  <si>
    <t>1. Buka Profile
2. Ubah password/foto/preferensi
3. Simpan</t>
  </si>
  <si>
    <t>Perubahan tersimpan; password baru bisa dipakai login berikutnya.</t>
  </si>
  <si>
    <t>USE-021</t>
  </si>
  <si>
    <t>Refresh Token — Sesi Tetap Login</t>
  </si>
  <si>
    <t>Sesi tetap aktif tanpa login ulang via refresh token; logout menghapus sesi.</t>
  </si>
  <si>
    <t>Karyawan login dengan opsi ingat sesi.</t>
  </si>
  <si>
    <t>Tunggu access token expired lalu refresh</t>
  </si>
  <si>
    <t>1. Login dengan remember me
2. Tunggu token pendek expired
3. Akses halaman lagi</t>
  </si>
  <si>
    <t>Sesi diperpanjang otomatis; setelah logout, token lama tidak bisa dipakai lagi.</t>
  </si>
  <si>
    <t>USE-022</t>
  </si>
  <si>
    <t>Lost Item — Lapor Barang Hilang</t>
  </si>
  <si>
    <t>Karyawan melaporkan barang hilang.</t>
  </si>
  <si>
    <t>Jenis barang, lokasi terakhir, waktu kejadian</t>
  </si>
  <si>
    <t>1. Buka Lost Item → Report
2. Isi form
3. Kirim</t>
  </si>
  <si>
    <t>Laporan tersimpan dengan status awal; bisa dikaitkan ke tiket.</t>
  </si>
  <si>
    <t>USE-023</t>
  </si>
  <si>
    <t>Lost Item — Klaim Barang Temuan</t>
  </si>
  <si>
    <t>Penemu melaporkan barang temuan terkait laporan hilang.</t>
  </si>
  <si>
    <t>Ada laporan Lost Item.</t>
  </si>
  <si>
    <t>Lokasi &amp; waktu temuan</t>
  </si>
  <si>
    <t>1. Buka Found Item Claim
2. Isi form temuan
3. Kirim</t>
  </si>
  <si>
    <t>Klaim tersimpan terhubung ke laporan hilang.</t>
  </si>
  <si>
    <t>USE-024</t>
  </si>
  <si>
    <t>Kontrak &amp; Renewal Reminder</t>
  </si>
  <si>
    <t>Kontrak yang akan expired mendapat reminder H-90/H-60/H-30.</t>
  </si>
  <si>
    <t>Ada kontrak dengan tanggal berakhir.</t>
  </si>
  <si>
    <t>Tanggal berakhir mendekati</t>
  </si>
  <si>
    <t>1. Buat kontrak dengan tanggal berakhir dekat
2. Tunggu cron renewal 09:00
3. Periksa notifikasi</t>
  </si>
  <si>
    <t>Notifikasi reminder terkirim sesuai H-90/H-60/H-30.</t>
  </si>
  <si>
    <t>USE-025</t>
  </si>
  <si>
    <t>Akses Ditolak — Halaman Terbatas</t>
  </si>
  <si>
    <t>Karyawan tanpa izin tidak bisa buka halaman admin/manager.</t>
  </si>
  <si>
    <t>Karyawan role USER.</t>
  </si>
  <si>
    <t>Coba buka URL halaman terbatas</t>
  </si>
  <si>
    <t>1. Login sebagai USER
2. Coba buka URL admin/manager langsung</t>
  </si>
  <si>
    <t>Akses ditolak/redirect; tercatat sebagai PAGE_ACCESS_DENIED di audit.</t>
  </si>
  <si>
    <t>USE-026</t>
  </si>
  <si>
    <t>PWA — Buka di HP</t>
  </si>
  <si>
    <t>Aplikasi bisa dibuka di ponsel sebagai PWA tanpa instalasi.</t>
  </si>
  <si>
    <t>Buka via browser HP</t>
  </si>
  <si>
    <t>1. Buka URL iDesk di browser HP
2. Tambahkan ke Home Screen (opsional)</t>
  </si>
  <si>
    <t>Aplikasi tampil responsif; bisa dipakai sebagai PWA.</t>
  </si>
  <si>
    <t>URUTAN EKSEKUSI UAT - iDesk Enterprise IT Helpdesk &amp; Operations Platform</t>
  </si>
  <si>
    <t>Gunakan sheet ini sebagai panduan urutan pelaksanaan agar data master, tiket, approval, instalasi, dan laporan tersedia berurutan tanpa perlu bolak-balik role.</t>
  </si>
  <si>
    <t>Urutan</t>
  </si>
  <si>
    <t>Fase</t>
  </si>
  <si>
    <t>Prasyarat Utama</t>
  </si>
  <si>
    <t>Data/Kondisi yang Harus Disiapkan</t>
  </si>
  <si>
    <t>1. Setup master data &amp; akun</t>
  </si>
  <si>
    <t>Admin login dan melihat menu administrasi lengkap.</t>
  </si>
  <si>
    <t>Akun admin valid</t>
  </si>
  <si>
    <t>Data pengguna baru (USER, MANAGER, AGENT)</t>
  </si>
  <si>
    <t>Admin import banyak pengguna via CSV.</t>
  </si>
  <si>
    <t>File CSV template.</t>
  </si>
  <si>
    <t>File CSV beberapa pengguna</t>
  </si>
  <si>
    <t>Admin mengubah role pengguna.</t>
  </si>
  <si>
    <t>Role baru per pengguna</t>
  </si>
  <si>
    <t>Admin menambah/mengubah department &amp; site.</t>
  </si>
  <si>
    <t>Nama department/site baru</t>
  </si>
  <si>
    <t>Admin mengatur target SLA per prioritas.</t>
  </si>
  <si>
    <t>Target menit per prioritas</t>
  </si>
  <si>
    <t>Admin mengatur jam kerja SLA.</t>
  </si>
  <si>
    <t>Jam &amp; hari kerja aktif</t>
  </si>
  <si>
    <t>Admin membuat automation rule.</t>
  </si>
  <si>
    <t>Rule trigger/condition/action</t>
  </si>
  <si>
    <t>Permissions</t>
  </si>
  <si>
    <t>Admin mengatur izin fitur per pengguna.</t>
  </si>
  <si>
    <t>Preset &amp; izin per fitur</t>
  </si>
  <si>
    <t>Admin menambah akun Zoom korporat.</t>
  </si>
  <si>
    <t>Email akun Zoom</t>
  </si>
  <si>
    <t>2. Konfigurasi pendukung</t>
  </si>
  <si>
    <t>Admin ubah branding &amp; suara notifikasi.</t>
  </si>
  <si>
    <t>Logo/nama/nada baru</t>
  </si>
  <si>
    <t>Admin atur target backup NAS.</t>
  </si>
  <si>
    <t>Alamat NAS</t>
  </si>
  <si>
    <t>Admin atur sinkronisasi Spreadsheet.</t>
  </si>
  <si>
    <t>Service-account tersedia.</t>
  </si>
  <si>
    <t>Spreadsheet ID</t>
  </si>
  <si>
    <t>Atur preferensi channel notifikasi.</t>
  </si>
  <si>
    <t>Pilihan channel</t>
  </si>
  <si>
    <t>3. User buat tiket &amp; request</t>
  </si>
  <si>
    <t>Akun USER valid</t>
  </si>
  <si>
    <t>Login gagal &amp; lockout.</t>
  </si>
  <si>
    <t>Karyawan lihat ringkasan tiket miliknya.</t>
  </si>
  <si>
    <t>Sudah login.</t>
  </si>
  <si>
    <t>Karyawan buat tiket helpdesk.</t>
  </si>
  <si>
    <t>Judul, kategori, prioritas, lampiran</t>
  </si>
  <si>
    <t>Karyawan buat tiket Oracle/K2.</t>
  </si>
  <si>
    <t>Pilih tipe ORACLE_REQUEST</t>
  </si>
  <si>
    <t>Karyawan ajukan hardware.</t>
  </si>
  <si>
    <t>Jenis barang, jumlah, justifikasi</t>
  </si>
  <si>
    <t>Karyawan ajukan eForm.</t>
  </si>
  <si>
    <t>Jenis form &amp; alasan</t>
  </si>
  <si>
    <t>Karyawan ajukan VPN.</t>
  </si>
  <si>
    <t>Keperluan &amp; durasi</t>
  </si>
  <si>
    <t>Karyawan ajukan akses halaman.</t>
  </si>
  <si>
    <t>Halaman yang diminta</t>
  </si>
  <si>
    <t>Karyawan pesan slot Zoom.</t>
  </si>
  <si>
    <t>Akun Zoom tersedia.</t>
  </si>
  <si>
    <t>Judul &amp; jam meeting</t>
  </si>
  <si>
    <t>Knowledge Base — Baca</t>
  </si>
  <si>
    <t>Karyawan cari &amp; baca artikel.</t>
  </si>
  <si>
    <t>Kata kunci</t>
  </si>
  <si>
    <t>4. Manager approval</t>
  </si>
  <si>
    <t>Login Manager</t>
  </si>
  <si>
    <t>Manager login &amp; lihat dashboard.</t>
  </si>
  <si>
    <t>Akun manager valid</t>
  </si>
  <si>
    <t>Approval eForm T1</t>
  </si>
  <si>
    <t>Manager 1 approve eForm.</t>
  </si>
  <si>
    <t>eForm pending Manager 1.</t>
  </si>
  <si>
    <t>eForm pending</t>
  </si>
  <si>
    <t>Approval eForm T2</t>
  </si>
  <si>
    <t>Manager 2 approve eForm.</t>
  </si>
  <si>
    <t>Sudah approved T1.</t>
  </si>
  <si>
    <t>eForm pending T2</t>
  </si>
  <si>
    <t>Approval Hardware — Approve</t>
  </si>
  <si>
    <t>Manager approve hardware.</t>
  </si>
  <si>
    <t>Request pending.</t>
  </si>
  <si>
    <t>Approval VPN — Approve</t>
  </si>
  <si>
    <t>Manager approve VPN.</t>
  </si>
  <si>
    <t>VPN pending.</t>
  </si>
  <si>
    <t>5. Agent — tangani tiket</t>
  </si>
  <si>
    <t>Login Agent</t>
  </si>
  <si>
    <t>Agent login &amp; lihat papan tiket.</t>
  </si>
  <si>
    <t>Akun agent valid</t>
  </si>
  <si>
    <t>Auto-Assign</t>
  </si>
  <si>
    <t>Tiket auto-assign ke beban ringan.</t>
  </si>
  <si>
    <t>Rule auto-assign aktif.</t>
  </si>
  <si>
    <t>Tiket baru</t>
  </si>
  <si>
    <t>Agent buka detail tiket.</t>
  </si>
  <si>
    <t>Balas &amp; Internal Note</t>
  </si>
  <si>
    <t>Agent balas &amp; tulis internal note.</t>
  </si>
  <si>
    <t>Tiket assigned.</t>
  </si>
  <si>
    <t>Ubah Status</t>
  </si>
  <si>
    <t>Agent ubah status tiket.</t>
  </si>
  <si>
    <t>Status berikutnya</t>
  </si>
  <si>
    <t>Agent catat waktu pengerjaan.</t>
  </si>
  <si>
    <t>Tiket dikerjakan.</t>
  </si>
  <si>
    <t>Jam mulai/selesai</t>
  </si>
  <si>
    <t>Agent gabungkan tiket duplikat.</t>
  </si>
  <si>
    <t>Ada tiket duplikat.</t>
  </si>
  <si>
    <t>Pilih sumber &amp; target</t>
  </si>
  <si>
    <t>Kalender Instalasi</t>
  </si>
  <si>
    <t>Agent lihat jadwal instalasi.</t>
  </si>
  <si>
    <t>Ada jadwal.</t>
  </si>
  <si>
    <t>Teknisi jadwalkan instalasi.</t>
  </si>
  <si>
    <t>Request PROCURED.</t>
  </si>
  <si>
    <t>Tanggal/jam slot</t>
  </si>
  <si>
    <t>Tandai Selesai</t>
  </si>
  <si>
    <t>Teknisi tandai instalasi selesai.</t>
  </si>
  <si>
    <t>Jadwal siap.</t>
  </si>
  <si>
    <t>6. User — konfirmasi &amp; negative</t>
  </si>
  <si>
    <t>Karyawan pilih slot.</t>
  </si>
  <si>
    <t>Request SCHEDULED.</t>
  </si>
  <si>
    <t>Pilih slot</t>
  </si>
  <si>
    <t>Konfirmasi — Terima</t>
  </si>
  <si>
    <t>Karyawan terima instalasi.</t>
  </si>
  <si>
    <t>AWAITING_CONFIRM.</t>
  </si>
  <si>
    <t>Konfirmasi — Lapor Masalah</t>
  </si>
  <si>
    <t>Karyawan lapor masalah.</t>
  </si>
  <si>
    <t>Diam 24 jam → auto-complete.</t>
  </si>
  <si>
    <t>Installed 24 jam lalu.</t>
  </si>
  <si>
    <t>Tunggu cron</t>
  </si>
  <si>
    <t>Booking Zoom — Bentrok</t>
  </si>
  <si>
    <t>Bentrok jadwal ditolak.</t>
  </si>
  <si>
    <t>Ada booking jam sama.</t>
  </si>
  <si>
    <t>Coba jam sama</t>
  </si>
  <si>
    <t>Akses Ditolak</t>
  </si>
  <si>
    <t>USER tidak bisa buka halaman terbatas.</t>
  </si>
  <si>
    <t>Role USER.</t>
  </si>
  <si>
    <t>Coba URL terbatas</t>
  </si>
  <si>
    <t>7. Agent lanjut &amp; sistem</t>
  </si>
  <si>
    <t>Tiket dapat warning &amp; breach flag.</t>
  </si>
  <si>
    <t>SLA config ada.</t>
  </si>
  <si>
    <t>Tiket mendekati target</t>
  </si>
  <si>
    <t>Perubahan muncul tanpa refresh.</t>
  </si>
  <si>
    <t>2 sesi login.</t>
  </si>
  <si>
    <t>Ubah status/balas</t>
  </si>
  <si>
    <t>Knowledge Base Authoring</t>
  </si>
  <si>
    <t>Agent terbitkan artikel.</t>
  </si>
  <si>
    <t>Izin tulis KB.</t>
  </si>
  <si>
    <t>Judul/isi/visibilitas</t>
  </si>
  <si>
    <t>Lihat beban harian agent.</t>
  </si>
  <si>
    <t>Ada tiket assigned.</t>
  </si>
  <si>
    <t>8. Admin — laporan &amp; audit</t>
  </si>
  <si>
    <t>Admin lihat ringkasan helpdesk.</t>
  </si>
  <si>
    <t>Periode tanggal</t>
  </si>
  <si>
    <t>Admin generate laporan PDF/Excel.</t>
  </si>
  <si>
    <t>Ada data.</t>
  </si>
  <si>
    <t>Admin lihat riwayat aktivitas.</t>
  </si>
  <si>
    <t>Ada aktivitas.</t>
  </si>
  <si>
    <t>Filter aksi/tanggal</t>
  </si>
  <si>
    <t>Manager lihat laporan agregat.</t>
  </si>
  <si>
    <t>Lockout bila penolakan beruntun.</t>
  </si>
  <si>
    <t>Tanpa izin halaman.</t>
  </si>
  <si>
    <t>Coba berulang</t>
  </si>
  <si>
    <t>Validasi File</t>
  </si>
  <si>
    <t>Upload palsu ditolak.</t>
  </si>
  <si>
    <t>Coba upload palsu.</t>
  </si>
  <si>
    <t>File palsu</t>
  </si>
  <si>
    <t>CHECKLIST DATA &amp; KONDISI YANG HARUS DISIAPKAN SEBELUM UAT — iDesk V2</t>
  </si>
  <si>
    <t>Tujuan: menghindari perpindahan role berulang — siapkan data master, akun, SLA, dan kondisi transaksi sebelum eksekusi berurutan.</t>
  </si>
  <si>
    <t>No</t>
  </si>
  <si>
    <t>Kategori Data/Kondisi</t>
  </si>
  <si>
    <t>Detail Persiapan</t>
  </si>
  <si>
    <t>Digunakan untuk Skenario</t>
  </si>
  <si>
    <t>PIC/Role</t>
  </si>
  <si>
    <t>Akun &amp; Role</t>
  </si>
  <si>
    <t>Siapkan akun ADMIN, MANAGER, AGENT (OPERATIONAL_SUPPORT &amp; ORACLE), dan USER; plus 1 akun USER untuk negative test.</t>
  </si>
  <si>
    <t>ADM-001/003/006, MGR-001, AGN-001, USE-001/002/025</t>
  </si>
  <si>
    <t>Admin</t>
  </si>
  <si>
    <t>Pastikan password &amp; NIK/email diketahui tester.</t>
  </si>
  <si>
    <t>Buat minimal 2 department &amp; 2 site (lokasi) agar filter &amp; hak akses bisa diuji.</t>
  </si>
  <si>
    <t>ADM-008, ADM-003</t>
  </si>
  <si>
    <t>Site dipakai untuk isolasi data (Site Guard).</t>
  </si>
  <si>
    <t>SLA &amp; Business Hours</t>
  </si>
  <si>
    <t>Atur target SLA per prioritas (response &amp; resolution) + jam kerja. Longgarkan target agar UAT tidak langsung breach.</t>
  </si>
  <si>
    <t>ADM-009/010, AGN-017</t>
  </si>
  <si>
    <t>Ini prasyarat hitung SLA; jangan mulai UAT sebelum diset.</t>
  </si>
  <si>
    <t>Buat 1 rule auto-assign tiket baru agar skenario AGN-016 bisa diuji.</t>
  </si>
  <si>
    <t>ADM-011, AGN-016</t>
  </si>
  <si>
    <t>Nonaktifkan bila ingin uji manual assignment.</t>
  </si>
  <si>
    <t>Akun Zoom Korporat</t>
  </si>
  <si>
    <t>Tambah minimal 1 akun Zoom via Zoom Admin agar booking bisa dibuat.</t>
  </si>
  <si>
    <t>ADM-017, USE-016/017</t>
  </si>
  <si>
    <t>Butuh kredensial S2S OAuth yang valid.</t>
  </si>
  <si>
    <t>Artikel Knowledge Base</t>
  </si>
  <si>
    <t>Buat 2–3 artikel PUBLISHED (campur Public/Internal) untuk uji cari &amp; baca.</t>
  </si>
  <si>
    <t>AGN-015, USE-018</t>
  </si>
  <si>
    <t>Agent/Admin</t>
  </si>
  <si>
    <t>Artikel DRAFT tidak muncul untuk USER biasa.</t>
  </si>
  <si>
    <t>Data Tiket Awal</t>
  </si>
  <si>
    <t>Buat 3–5 tiket via USER (campur prioritas &amp; kategori) agar kanban &amp; dashboard terisi.</t>
  </si>
  <si>
    <t>USE-004/005, AGN-002/003</t>
  </si>
  <si>
    <t>User</t>
  </si>
  <si>
    <t>Sertakan 1 tiket Oracle/K2 khusus untuk AGN-001.</t>
  </si>
  <si>
    <t>Data Hardware Request</t>
  </si>
  <si>
    <t>Buat 2 request hardware (1 untuk flow normal, 1 untuk negative/reject).</t>
  </si>
  <si>
    <t>USE-008, MGR-007/008</t>
  </si>
  <si>
    <t>User/Manager</t>
  </si>
  <si>
    <t>Butuh approval manager sebelum dijadwalkan.</t>
  </si>
  <si>
    <t>Data eForm</t>
  </si>
  <si>
    <t>Buat 2 eForm (1 untuk approve 2 tingkat, 1 untuk reject).</t>
  </si>
  <si>
    <t>USE-013, MGR-003/004/005</t>
  </si>
  <si>
    <t>Siapkan tanda tangan digital bila diuji.</t>
  </si>
  <si>
    <t>Data VPN Request</t>
  </si>
  <si>
    <t>Buat 1 VPN request untuk approval.</t>
  </si>
  <si>
    <t>USE-014, MGR-009</t>
  </si>
  <si>
    <t>Data Page Access Request</t>
  </si>
  <si>
    <t>Buat 1 page access request untuk approval.</t>
  </si>
  <si>
    <t>Data Instalasi Terjadwal</t>
  </si>
  <si>
    <t>Setelah hardware di-approve, jadwalkan 1 instalasi agar slot &amp; konfirmasi bisa diuji.</t>
  </si>
  <si>
    <t>AGN-012, USE-009/010</t>
  </si>
  <si>
    <t>Agent</t>
  </si>
  <si>
    <t>Butuh teknisi yang assigned.</t>
  </si>
  <si>
    <t>Data Booking Zoom</t>
  </si>
  <si>
    <t>Buat 1 booking valid agar bentrok &amp; sinkron bisa diuji.</t>
  </si>
  <si>
    <t>Gunakan akun Zoom yang sama untuk uji bentrok.</t>
  </si>
  <si>
    <t>Data Kontrak (Renewal)</t>
  </si>
  <si>
    <t>Buat 1 kontrak dengan tanggal berakhir H-30 agar reminder bisa diuji.</t>
  </si>
  <si>
    <t>Cron renewal 09:00 tiap hari.</t>
  </si>
  <si>
    <t>Audit Log Baseline</t>
  </si>
  <si>
    <t>Lakukan beberapa aksi (login, buat tiket, approval) sebelum uji audit agar log tidak kosong.</t>
  </si>
  <si>
    <t>All Role</t>
  </si>
  <si>
    <t>Jalankan transaksi dulu, baru buka Audit Log.</t>
  </si>
  <si>
    <t>File Uji Validasi</t>
  </si>
  <si>
    <t>Siapkan file lampiran valid &amp; 1 file palsu (ekstensi tidak sesuai isi) untuk uji validasi upload.</t>
  </si>
  <si>
    <t>Validasi pakai magic bytes, bukan ekstensi.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</si>
</sst>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d\ mmmm\ yyyy"/>
    <numFmt numFmtId="166" formatCode="yyyy\-mm\-dd"/>
  </numFmts>
  <fonts count="12" x14ac:knownFonts="1">
    <font>
      <sz val="11"/>
      <color theme="1"/>
      <name val="Calibri"/>
      <family val="2"/>
      <scheme val="minor"/>
    </font>
    <font>
      <b/>
      <sz val="14"/>
      <color rgb="FFFFFFFF"/>
      <name val="Calibri"/>
    </font>
    <font>
      <sz val="11"/>
      <name val="Carlito"/>
    </font>
    <font>
      <sz val="11"/>
      <color rgb="FF000000"/>
      <name val="Carlito"/>
    </font>
    <font>
      <b/>
      <sz val="11"/>
      <color rgb="FF000000"/>
      <name val="Carlito"/>
    </font>
    <font>
      <b/>
      <sz val="11"/>
      <color rgb="FFFFFFFF"/>
      <name val="Carlito"/>
    </font>
    <font>
      <b/>
      <sz val="11"/>
      <color rgb="FFFFFFFF"/>
      <name val="Calibri"/>
    </font>
    <font>
      <sz val="11"/>
      <name val="Calibri"/>
    </font>
    <font>
      <b/>
      <sz val="11"/>
      <name val="Calibri"/>
    </font>
    <font>
      <b/>
      <sz val="14"/>
      <color rgb="FFFFFFFF"/>
      <name val="Carlito"/>
    </font>
    <font>
      <i/>
      <sz val="11"/>
      <color rgb="FF1F2937"/>
      <name val="Carlito"/>
    </font>
    <font>
      <sz val="8"/>
      <name val="Calibri"/>
      <family val="2"/>
      <scheme val="minor"/>
    </font>
  </fonts>
  <fills count="8">
    <fill>
      <patternFill patternType="none"/>
    </fill>
    <fill>
      <patternFill patternType="gray125"/>
    </fill>
    <fill>
      <patternFill patternType="solid">
        <fgColor rgb="FF1F4E78"/>
      </patternFill>
    </fill>
    <fill>
      <patternFill patternType="solid">
        <fgColor rgb="FFFFFFFF"/>
      </patternFill>
    </fill>
    <fill>
      <patternFill patternType="solid">
        <fgColor rgb="FFDDEBF7"/>
      </patternFill>
    </fill>
    <fill>
      <patternFill patternType="solid">
        <fgColor rgb="FF0B1F33"/>
      </patternFill>
    </fill>
    <fill>
      <patternFill patternType="solid">
        <fgColor rgb="FFD9EAF7"/>
      </patternFill>
    </fill>
    <fill>
      <patternFill patternType="solid">
        <fgColor rgb="FF0F766E"/>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style="thin">
        <color rgb="FFB0B0B0"/>
      </left>
      <right style="thin">
        <color rgb="FFB0B0B0"/>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s>
  <cellStyleXfs count="1">
    <xf numFmtId="0" fontId="0" fillId="0" borderId="0"/>
  </cellStyleXfs>
  <cellXfs count="47">
    <xf numFmtId="0" fontId="0" fillId="0" borderId="0" xfId="0"/>
    <xf numFmtId="0" fontId="3" fillId="3" borderId="4" xfId="0" applyFont="1" applyFill="1" applyBorder="1" applyAlignment="1">
      <alignment horizontal="left" vertical="center" wrapText="1"/>
    </xf>
    <xf numFmtId="0" fontId="4" fillId="4" borderId="1" xfId="0" applyFont="1" applyFill="1" applyBorder="1" applyAlignment="1">
      <alignment horizontal="left" vertical="center" wrapText="1"/>
    </xf>
    <xf numFmtId="165" fontId="3" fillId="3" borderId="1" xfId="0" applyNumberFormat="1" applyFont="1" applyFill="1" applyBorder="1" applyAlignment="1">
      <alignment horizontal="right" vertical="center" wrapText="1"/>
    </xf>
    <xf numFmtId="0" fontId="3" fillId="3" borderId="1" xfId="0" applyFont="1" applyFill="1" applyBorder="1" applyAlignment="1">
      <alignment horizontal="left" vertical="center" wrapText="1"/>
    </xf>
    <xf numFmtId="0" fontId="5" fillId="2" borderId="3"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3" borderId="1" xfId="0" applyFont="1" applyFill="1" applyBorder="1" applyAlignment="1">
      <alignment horizontal="right" vertical="center" wrapText="1"/>
    </xf>
    <xf numFmtId="0" fontId="3" fillId="3" borderId="3" xfId="0" applyFont="1" applyFill="1" applyBorder="1" applyAlignment="1">
      <alignment horizontal="center" vertical="center" wrapText="1"/>
    </xf>
    <xf numFmtId="0" fontId="3" fillId="3" borderId="1" xfId="0" applyFont="1" applyFill="1" applyBorder="1" applyAlignment="1">
      <alignment horizontal="center" vertical="center" wrapText="1"/>
    </xf>
    <xf numFmtId="10" fontId="3" fillId="3" borderId="4" xfId="0" applyNumberFormat="1" applyFont="1" applyFill="1" applyBorder="1" applyAlignment="1">
      <alignment horizontal="left" vertical="center" wrapText="1"/>
    </xf>
    <xf numFmtId="1" fontId="3" fillId="3" borderId="1" xfId="0" applyNumberFormat="1" applyFont="1" applyFill="1" applyBorder="1" applyAlignment="1">
      <alignment horizontal="right" vertical="center" wrapText="1"/>
    </xf>
    <xf numFmtId="10" fontId="3" fillId="3" borderId="1" xfId="0" applyNumberFormat="1" applyFont="1" applyFill="1" applyBorder="1" applyAlignment="1">
      <alignment horizontal="right" vertical="center" wrapText="1"/>
    </xf>
    <xf numFmtId="0" fontId="2" fillId="0" borderId="4" xfId="0" applyFont="1" applyBorder="1"/>
    <xf numFmtId="0" fontId="6" fillId="2" borderId="5" xfId="0" applyFont="1" applyFill="1" applyBorder="1" applyAlignment="1">
      <alignment horizontal="center" vertical="center" wrapText="1"/>
    </xf>
    <xf numFmtId="0" fontId="3" fillId="3" borderId="4" xfId="0" applyFont="1" applyFill="1" applyBorder="1" applyAlignment="1">
      <alignment vertical="center" wrapText="1"/>
    </xf>
    <xf numFmtId="0" fontId="7" fillId="3" borderId="5" xfId="0" applyFont="1" applyFill="1" applyBorder="1" applyAlignment="1">
      <alignment horizontal="left" vertical="center" wrapText="1"/>
    </xf>
    <xf numFmtId="0" fontId="7" fillId="3" borderId="5" xfId="0" applyFont="1" applyFill="1" applyBorder="1" applyAlignment="1">
      <alignment horizontal="center" vertical="center" wrapText="1"/>
    </xf>
    <xf numFmtId="9" fontId="7" fillId="3" borderId="5" xfId="0" applyNumberFormat="1" applyFont="1" applyFill="1" applyBorder="1" applyAlignment="1">
      <alignment horizontal="center" vertical="center" wrapText="1"/>
    </xf>
    <xf numFmtId="0" fontId="8" fillId="4" borderId="5" xfId="0" applyFont="1" applyFill="1" applyBorder="1" applyAlignment="1">
      <alignment horizontal="left" vertical="center" wrapText="1"/>
    </xf>
    <xf numFmtId="0" fontId="8" fillId="4" borderId="5" xfId="0" applyFont="1" applyFill="1" applyBorder="1" applyAlignment="1">
      <alignment horizontal="center" vertical="center" wrapText="1"/>
    </xf>
    <xf numFmtId="9" fontId="8" fillId="4" borderId="5" xfId="0" applyNumberFormat="1" applyFont="1" applyFill="1" applyBorder="1" applyAlignment="1">
      <alignment horizontal="center" vertical="center" wrapText="1"/>
    </xf>
    <xf numFmtId="0" fontId="7" fillId="4" borderId="5" xfId="0" applyFont="1" applyFill="1" applyBorder="1" applyAlignment="1">
      <alignment horizontal="left" vertical="center" wrapText="1"/>
    </xf>
    <xf numFmtId="0" fontId="2" fillId="0" borderId="4" xfId="0" applyFont="1" applyBorder="1" applyAlignment="1">
      <alignment wrapText="1"/>
    </xf>
    <xf numFmtId="0" fontId="7" fillId="0" borderId="5" xfId="0" applyFont="1" applyBorder="1" applyAlignment="1">
      <alignment horizontal="left" vertical="center" wrapText="1"/>
    </xf>
    <xf numFmtId="0" fontId="5" fillId="0" borderId="4" xfId="0" applyFont="1" applyBorder="1" applyAlignment="1">
      <alignment horizontal="center" vertical="center" wrapText="1"/>
    </xf>
    <xf numFmtId="0" fontId="2" fillId="0" borderId="1" xfId="0" applyFont="1" applyBorder="1" applyAlignment="1">
      <alignment wrapText="1"/>
    </xf>
    <xf numFmtId="0" fontId="7" fillId="0" borderId="5" xfId="0" applyFont="1" applyBorder="1" applyAlignment="1">
      <alignment horizontal="center" vertical="center" wrapText="1"/>
    </xf>
    <xf numFmtId="0" fontId="6" fillId="2" borderId="5" xfId="0" applyFont="1" applyFill="1" applyBorder="1" applyAlignment="1">
      <alignment horizontal="center" vertical="top" wrapText="1"/>
    </xf>
    <xf numFmtId="0" fontId="7" fillId="0" borderId="5" xfId="0" applyFont="1" applyBorder="1" applyAlignment="1">
      <alignment horizontal="center" vertical="top" wrapText="1"/>
    </xf>
    <xf numFmtId="0" fontId="7" fillId="0" borderId="5" xfId="0" applyFont="1" applyBorder="1" applyAlignment="1">
      <alignment horizontal="left" vertical="top" wrapText="1"/>
    </xf>
    <xf numFmtId="166" fontId="7" fillId="0" borderId="5" xfId="0" applyNumberFormat="1" applyFont="1" applyBorder="1" applyAlignment="1">
      <alignment horizontal="center" vertical="center" wrapText="1"/>
    </xf>
    <xf numFmtId="0" fontId="6" fillId="7" borderId="5" xfId="0" applyFont="1" applyFill="1" applyBorder="1" applyAlignment="1">
      <alignment horizontal="center" vertical="center" wrapText="1"/>
    </xf>
    <xf numFmtId="0" fontId="7" fillId="0" borderId="5" xfId="0" applyFont="1" applyBorder="1" applyAlignment="1">
      <alignment horizontal="center" wrapText="1"/>
    </xf>
    <xf numFmtId="0" fontId="7" fillId="0" borderId="5" xfId="0" applyFont="1" applyBorder="1" applyAlignment="1">
      <alignment wrapText="1"/>
    </xf>
    <xf numFmtId="0" fontId="7" fillId="0" borderId="5" xfId="0" applyFont="1" applyBorder="1"/>
    <xf numFmtId="0" fontId="1" fillId="2" borderId="1" xfId="0" applyFont="1" applyFill="1" applyBorder="1" applyAlignment="1">
      <alignment horizontal="left" vertical="center" wrapText="1"/>
    </xf>
    <xf numFmtId="0" fontId="2" fillId="0" borderId="2" xfId="0" applyFont="1" applyBorder="1"/>
    <xf numFmtId="0" fontId="2" fillId="0" borderId="3" xfId="0" applyFont="1" applyBorder="1"/>
    <xf numFmtId="0" fontId="9" fillId="5" borderId="4" xfId="0" applyFont="1" applyFill="1" applyBorder="1" applyAlignment="1">
      <alignment horizontal="center" vertical="center" wrapText="1"/>
    </xf>
    <xf numFmtId="0" fontId="2" fillId="0" borderId="4" xfId="0" applyFont="1" applyBorder="1"/>
    <xf numFmtId="0" fontId="1" fillId="5" borderId="4"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2" fillId="0" borderId="6" xfId="0" applyFont="1" applyBorder="1"/>
    <xf numFmtId="0" fontId="2" fillId="0" borderId="7" xfId="0" applyFont="1" applyBorder="1"/>
    <xf numFmtId="0" fontId="1" fillId="2" borderId="4" xfId="0" applyFont="1" applyFill="1" applyBorder="1" applyAlignment="1">
      <alignment horizontal="center" vertical="center" wrapText="1"/>
    </xf>
    <xf numFmtId="0" fontId="10" fillId="6" borderId="4"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0"/>
  <sheetViews>
    <sheetView workbookViewId="0">
      <selection activeCell="G10" sqref="G10"/>
    </sheetView>
  </sheetViews>
  <sheetFormatPr defaultRowHeight="14.4" x14ac:dyDescent="0.3"/>
  <cols>
    <col min="1" max="1" width="26" customWidth="1"/>
    <col min="2" max="2" width="14.5546875" bestFit="1" customWidth="1"/>
    <col min="3" max="3" width="10" customWidth="1"/>
    <col min="4" max="4" width="14" customWidth="1"/>
    <col min="5" max="5" width="12" customWidth="1"/>
    <col min="7" max="7" width="14" customWidth="1"/>
    <col min="8" max="8" width="12" customWidth="1"/>
  </cols>
  <sheetData>
    <row r="1" spans="1:11" ht="51" customHeight="1" x14ac:dyDescent="0.3">
      <c r="A1" s="36" t="s">
        <v>0</v>
      </c>
      <c r="B1" s="37"/>
      <c r="C1" s="38"/>
      <c r="D1" s="1"/>
      <c r="E1" s="1"/>
      <c r="F1" s="1"/>
      <c r="G1" s="1"/>
      <c r="H1" s="1"/>
      <c r="I1" s="1"/>
      <c r="J1" s="1"/>
      <c r="K1" s="1"/>
    </row>
    <row r="2" spans="1:11" ht="15" customHeight="1" x14ac:dyDescent="0.3">
      <c r="A2" s="2" t="s">
        <v>1</v>
      </c>
      <c r="B2" s="3">
        <v>46253.450220868057</v>
      </c>
      <c r="C2" s="4"/>
      <c r="D2" s="5" t="s">
        <v>2</v>
      </c>
      <c r="E2" s="6" t="s">
        <v>3</v>
      </c>
      <c r="F2" s="1"/>
      <c r="G2" s="1"/>
      <c r="H2" s="1"/>
      <c r="I2" s="1"/>
      <c r="J2" s="1"/>
      <c r="K2" s="1"/>
    </row>
    <row r="3" spans="1:11" ht="15" customHeight="1" x14ac:dyDescent="0.3">
      <c r="A3" s="2" t="s">
        <v>4</v>
      </c>
      <c r="B3" s="7">
        <f>SUM(B13:B16)</f>
        <v>78</v>
      </c>
      <c r="C3" s="4"/>
      <c r="D3" s="8" t="s">
        <v>5</v>
      </c>
      <c r="E3" s="9">
        <f>B4</f>
        <v>0</v>
      </c>
      <c r="F3" s="1"/>
      <c r="G3" s="1"/>
      <c r="H3" s="1"/>
      <c r="I3" s="1"/>
      <c r="J3" s="1"/>
      <c r="K3" s="1"/>
    </row>
    <row r="4" spans="1:11" ht="15" customHeight="1" x14ac:dyDescent="0.3">
      <c r="A4" s="2" t="s">
        <v>5</v>
      </c>
      <c r="B4" s="7">
        <f>SUM(C13:C16)</f>
        <v>0</v>
      </c>
      <c r="C4" s="4"/>
      <c r="D4" s="8" t="s">
        <v>6</v>
      </c>
      <c r="E4" s="9">
        <f>B5</f>
        <v>0</v>
      </c>
      <c r="F4" s="1"/>
      <c r="G4" s="1"/>
      <c r="H4" s="10"/>
      <c r="I4" s="1"/>
      <c r="J4" s="1"/>
      <c r="K4" s="1"/>
    </row>
    <row r="5" spans="1:11" ht="15" customHeight="1" x14ac:dyDescent="0.3">
      <c r="A5" s="2" t="s">
        <v>6</v>
      </c>
      <c r="B5" s="7">
        <f>SUM(D13:D16)</f>
        <v>0</v>
      </c>
      <c r="C5" s="4"/>
      <c r="D5" s="8" t="s">
        <v>7</v>
      </c>
      <c r="E5" s="9">
        <f>B6</f>
        <v>0</v>
      </c>
      <c r="F5" s="1"/>
      <c r="G5" s="1"/>
      <c r="H5" s="10"/>
      <c r="I5" s="1"/>
      <c r="J5" s="1"/>
      <c r="K5" s="1"/>
    </row>
    <row r="6" spans="1:11" ht="15" customHeight="1" x14ac:dyDescent="0.3">
      <c r="A6" s="2" t="s">
        <v>7</v>
      </c>
      <c r="B6" s="7">
        <f>SUM(E13:E16)</f>
        <v>0</v>
      </c>
      <c r="C6" s="4"/>
      <c r="D6" s="8" t="s">
        <v>8</v>
      </c>
      <c r="E6" s="9">
        <f>B7</f>
        <v>78</v>
      </c>
      <c r="F6" s="1"/>
      <c r="G6" s="1"/>
      <c r="H6" s="10"/>
      <c r="I6" s="1"/>
      <c r="J6" s="1"/>
      <c r="K6" s="1"/>
    </row>
    <row r="7" spans="1:11" ht="15" customHeight="1" x14ac:dyDescent="0.3">
      <c r="A7" s="2" t="s">
        <v>8</v>
      </c>
      <c r="B7" s="7">
        <f>SUM(F13:F16)</f>
        <v>78</v>
      </c>
      <c r="C7" s="4"/>
      <c r="D7" s="1"/>
      <c r="E7" s="1"/>
      <c r="F7" s="1"/>
      <c r="G7" s="1"/>
      <c r="H7" s="10"/>
      <c r="I7" s="1"/>
      <c r="J7" s="1"/>
      <c r="K7" s="1"/>
    </row>
    <row r="8" spans="1:11" ht="15" customHeight="1" x14ac:dyDescent="0.3">
      <c r="A8" s="2" t="s">
        <v>9</v>
      </c>
      <c r="B8" s="11">
        <f>SUM(G13:G16)</f>
        <v>0</v>
      </c>
      <c r="C8" s="4"/>
      <c r="D8" s="1"/>
      <c r="E8" s="1"/>
      <c r="F8" s="1"/>
      <c r="G8" s="1"/>
      <c r="H8" s="10"/>
      <c r="I8" s="1"/>
      <c r="J8" s="1"/>
      <c r="K8" s="1"/>
    </row>
    <row r="9" spans="1:11" ht="15" customHeight="1" x14ac:dyDescent="0.3">
      <c r="A9" s="2" t="s">
        <v>10</v>
      </c>
      <c r="B9" s="12">
        <f>IF(B3=0,0,B4/B3)</f>
        <v>0</v>
      </c>
      <c r="C9" s="4"/>
      <c r="D9" s="1"/>
      <c r="E9" s="1"/>
      <c r="F9" s="1"/>
      <c r="G9" s="1"/>
      <c r="H9" s="10"/>
      <c r="I9" s="1"/>
      <c r="J9" s="1"/>
      <c r="K9" s="1"/>
    </row>
    <row r="10" spans="1:11" x14ac:dyDescent="0.3">
      <c r="A10" s="13"/>
      <c r="B10" s="13"/>
      <c r="C10" s="13"/>
      <c r="D10" s="13"/>
      <c r="E10" s="13"/>
      <c r="F10" s="13"/>
      <c r="G10" s="13"/>
      <c r="H10" s="10"/>
      <c r="I10" s="1"/>
      <c r="J10" s="1"/>
      <c r="K10" s="1"/>
    </row>
    <row r="11" spans="1:11" x14ac:dyDescent="0.3">
      <c r="A11" s="1"/>
      <c r="B11" s="1"/>
      <c r="C11" s="1"/>
      <c r="D11" s="1"/>
      <c r="E11" s="1"/>
      <c r="F11" s="1"/>
      <c r="G11" s="1"/>
      <c r="H11" s="1"/>
      <c r="I11" s="1"/>
      <c r="J11" s="1"/>
      <c r="K11" s="1"/>
    </row>
    <row r="12" spans="1:11" ht="14.25" customHeight="1" x14ac:dyDescent="0.3">
      <c r="A12" s="14" t="s">
        <v>11</v>
      </c>
      <c r="B12" s="14" t="s">
        <v>12</v>
      </c>
      <c r="C12" s="14" t="s">
        <v>5</v>
      </c>
      <c r="D12" s="14" t="s">
        <v>6</v>
      </c>
      <c r="E12" s="14" t="s">
        <v>7</v>
      </c>
      <c r="F12" s="14" t="s">
        <v>8</v>
      </c>
      <c r="G12" s="14" t="s">
        <v>10</v>
      </c>
      <c r="H12" s="15"/>
      <c r="I12" s="15"/>
      <c r="J12" s="15"/>
      <c r="K12" s="15"/>
    </row>
    <row r="13" spans="1:11" x14ac:dyDescent="0.3">
      <c r="A13" s="16" t="s">
        <v>13</v>
      </c>
      <c r="B13" s="17">
        <f>COUNTA(UAT_ADMIN!A3:A997)</f>
        <v>26</v>
      </c>
      <c r="C13" s="17">
        <f>COUNTIF(UAT_ADMIN!J3:J997,"Pass")</f>
        <v>0</v>
      </c>
      <c r="D13" s="17">
        <f>COUNTIF(UAT_ADMIN!J3:J997,"Fail")</f>
        <v>0</v>
      </c>
      <c r="E13" s="17">
        <f>COUNTIF(UAT_ADMIN!J3:J997,"Blocked")</f>
        <v>0</v>
      </c>
      <c r="F13" s="17">
        <f>COUNTIF(UAT_ADMIN!J3:J997,"Not Run")</f>
        <v>26</v>
      </c>
      <c r="G13" s="18">
        <f>IF(B13=0,0,C13/B13)</f>
        <v>0</v>
      </c>
      <c r="H13" s="1"/>
      <c r="I13" s="1"/>
      <c r="J13" s="1"/>
      <c r="K13" s="1"/>
    </row>
    <row r="14" spans="1:11" x14ac:dyDescent="0.3">
      <c r="A14" s="16" t="s">
        <v>14</v>
      </c>
      <c r="B14" s="17">
        <f>COUNTA(UAT_MANAGER!A3:A993)</f>
        <v>8</v>
      </c>
      <c r="C14" s="17">
        <f>COUNTIF(UAT_MANAGER!J3:J993,"Pass")</f>
        <v>0</v>
      </c>
      <c r="D14" s="17">
        <f>COUNTIF(UAT_MANAGER!J3:J993,"Fail")</f>
        <v>0</v>
      </c>
      <c r="E14" s="17">
        <f>COUNTIF(UAT_MANAGER!J3:J993,"Blocked")</f>
        <v>0</v>
      </c>
      <c r="F14" s="17">
        <f>COUNTIF(UAT_MANAGER!J3:J993,"Not Run")</f>
        <v>8</v>
      </c>
      <c r="G14" s="18">
        <f>IF(B14=0,0,C14/B14)</f>
        <v>0</v>
      </c>
      <c r="H14" s="1"/>
      <c r="I14" s="1"/>
      <c r="J14" s="1"/>
      <c r="K14" s="1"/>
    </row>
    <row r="15" spans="1:11" x14ac:dyDescent="0.3">
      <c r="A15" s="16" t="s">
        <v>15</v>
      </c>
      <c r="B15" s="17">
        <f>COUNTA(UAT_AGENT!A3:A996)</f>
        <v>18</v>
      </c>
      <c r="C15" s="17">
        <f>COUNTIF(UAT_AGENT!J3:J996,"Pass")</f>
        <v>0</v>
      </c>
      <c r="D15" s="17">
        <f>COUNTIF(UAT_AGENT!J3:J996,"Fail")</f>
        <v>0</v>
      </c>
      <c r="E15" s="17">
        <f>COUNTIF(UAT_AGENT!J3:J996,"Blocked")</f>
        <v>0</v>
      </c>
      <c r="F15" s="17">
        <f>COUNTIF(UAT_AGENT!J3:J996,"Not Run")</f>
        <v>18</v>
      </c>
      <c r="G15" s="18">
        <f>IF(B15=0,0,C15/B15)</f>
        <v>0</v>
      </c>
      <c r="H15" s="1"/>
      <c r="I15" s="1"/>
      <c r="J15" s="1"/>
      <c r="K15" s="1"/>
    </row>
    <row r="16" spans="1:11" x14ac:dyDescent="0.3">
      <c r="A16" s="16" t="s">
        <v>16</v>
      </c>
      <c r="B16" s="17">
        <f>COUNTA(UAT_USER!A3:A997)</f>
        <v>26</v>
      </c>
      <c r="C16" s="17">
        <f>COUNTIF(UAT_USER!J3:J997,"Pass")</f>
        <v>0</v>
      </c>
      <c r="D16" s="17">
        <f>COUNTIF(UAT_USER!J3:J997,"Fail")</f>
        <v>0</v>
      </c>
      <c r="E16" s="17">
        <f>COUNTIF(UAT_USER!J3:J997,"Blocked")</f>
        <v>0</v>
      </c>
      <c r="F16" s="17">
        <f>COUNTIF(UAT_USER!J3:J997,"Not Run")</f>
        <v>26</v>
      </c>
      <c r="G16" s="18">
        <f>IF(B16=0,0,C16/B16)</f>
        <v>0</v>
      </c>
      <c r="H16" s="1"/>
      <c r="I16" s="1"/>
      <c r="J16" s="1"/>
      <c r="K16" s="1"/>
    </row>
    <row r="17" spans="1:11" ht="15" customHeight="1" x14ac:dyDescent="0.3">
      <c r="A17" s="19" t="s">
        <v>17</v>
      </c>
      <c r="B17" s="20">
        <f>SUM(B13:B16)</f>
        <v>78</v>
      </c>
      <c r="C17" s="20">
        <f>SUM(C13:C16)</f>
        <v>0</v>
      </c>
      <c r="D17" s="20">
        <f>SUM(D13:D16)</f>
        <v>0</v>
      </c>
      <c r="E17" s="20">
        <f>SUM(E13:E16)</f>
        <v>0</v>
      </c>
      <c r="F17" s="20">
        <f>SUM(F13:F16)</f>
        <v>78</v>
      </c>
      <c r="G17" s="21">
        <f>IF(B17=0,0,C17/B17)</f>
        <v>0</v>
      </c>
      <c r="H17" s="1"/>
      <c r="I17" s="1"/>
      <c r="J17" s="1"/>
      <c r="K17" s="1"/>
    </row>
    <row r="18" spans="1:11" x14ac:dyDescent="0.3">
      <c r="A18" s="1"/>
      <c r="B18" s="1"/>
      <c r="C18" s="1"/>
      <c r="D18" s="1"/>
      <c r="E18" s="1"/>
      <c r="F18" s="1"/>
      <c r="G18" s="1"/>
      <c r="H18" s="1"/>
      <c r="I18" s="1"/>
      <c r="J18" s="1"/>
      <c r="K18" s="1"/>
    </row>
    <row r="19" spans="1:11" x14ac:dyDescent="0.3">
      <c r="A19" s="1"/>
      <c r="B19" s="1"/>
      <c r="C19" s="1"/>
      <c r="D19" s="1"/>
      <c r="E19" s="1"/>
      <c r="F19" s="1"/>
      <c r="G19" s="1"/>
      <c r="H19" s="1"/>
      <c r="I19" s="1"/>
      <c r="J19" s="1"/>
      <c r="K19" s="1"/>
    </row>
    <row r="20" spans="1:11" x14ac:dyDescent="0.3">
      <c r="A20" s="1"/>
      <c r="B20" s="1"/>
      <c r="C20" s="1"/>
      <c r="D20" s="1"/>
      <c r="E20" s="1"/>
      <c r="F20" s="1"/>
      <c r="G20" s="1"/>
      <c r="H20" s="1"/>
      <c r="I20" s="1"/>
      <c r="J20" s="1"/>
      <c r="K20" s="1"/>
    </row>
    <row r="21" spans="1:11" x14ac:dyDescent="0.3">
      <c r="A21" s="1"/>
      <c r="B21" s="1"/>
      <c r="C21" s="1"/>
      <c r="D21" s="1"/>
      <c r="E21" s="1"/>
      <c r="F21" s="1"/>
      <c r="G21" s="1"/>
      <c r="H21" s="1"/>
      <c r="I21" s="1"/>
      <c r="J21" s="1"/>
      <c r="K21" s="1"/>
    </row>
    <row r="22" spans="1:11" ht="15" customHeight="1" x14ac:dyDescent="0.3">
      <c r="A22" s="14" t="s">
        <v>18</v>
      </c>
      <c r="B22" s="14" t="s">
        <v>12</v>
      </c>
      <c r="C22" s="14" t="s">
        <v>5</v>
      </c>
      <c r="D22" s="14" t="s">
        <v>6</v>
      </c>
      <c r="E22" s="14" t="s">
        <v>7</v>
      </c>
      <c r="F22" s="14" t="s">
        <v>8</v>
      </c>
      <c r="G22" s="14" t="s">
        <v>10</v>
      </c>
      <c r="H22" s="1"/>
      <c r="I22" s="1"/>
      <c r="J22" s="1"/>
      <c r="K22" s="1"/>
    </row>
    <row r="23" spans="1:11" ht="15" customHeight="1" x14ac:dyDescent="0.3">
      <c r="A23" s="22" t="s">
        <v>19</v>
      </c>
      <c r="B23" s="17">
        <f>COUNTIF(UAT_ADMIN!Q47:Q1044,"&lt;&gt;")+COUNTIF(UAT_MANAGER!Q43:Q1040,"&lt;&gt;")+COUNTIF(UAT_AGENT!Q46:Q1043,"&lt;&gt;")+COUNTIF(UAT_USER!Q47:Q1044,"&lt;&gt;")</f>
        <v>0</v>
      </c>
      <c r="C23" s="17">
        <f>COUNTIF(UAT_ADMIN!R47:R1044,"&lt;&gt;")+COUNTIF(UAT_MANAGER!R43:R1040,"&lt;&gt;")+COUNTIF(UAT_AGENT!R46:R1043,"&lt;&gt;")+COUNTIF(UAT_USER!R47:R1044,"&lt;&gt;")</f>
        <v>0</v>
      </c>
      <c r="D23" s="17">
        <f>COUNTIF(UAT_ADMIN!S47:S1044,"&lt;&gt;")+COUNTIF(UAT_MANAGER!S43:S1040,"&lt;&gt;")+COUNTIF(UAT_AGENT!S46:S1043,"&lt;&gt;")+COUNTIF(UAT_USER!S47:S1044,"&lt;&gt;")</f>
        <v>0</v>
      </c>
      <c r="E23" s="17">
        <f>COUNTIF(UAT_ADMIN!T47:T1044,"&lt;&gt;")+COUNTIF(UAT_MANAGER!T43:T1040,"&lt;&gt;")+COUNTIF(UAT_AGENT!T46:T1043,"&lt;&gt;")+COUNTIF(UAT_USER!T47:T1044,"&lt;&gt;")</f>
        <v>0</v>
      </c>
      <c r="F23" s="17">
        <f>COUNTIF(UAT_ADMIN!U47:U1044,"&lt;&gt;")+COUNTIF(UAT_MANAGER!U43:U1040,"&lt;&gt;")+COUNTIF(UAT_AGENT!U46:U1043,"&lt;&gt;")+COUNTIF(UAT_USER!U47:U1044,"&lt;&gt;")</f>
        <v>0</v>
      </c>
      <c r="G23" s="17">
        <f>COUNTIF(UAT_ADMIN!V47:V1044,"&lt;&gt;")+COUNTIF(UAT_MANAGER!V43:V1040,"&lt;&gt;")+COUNTIF(UAT_AGENT!V46:V1043,"&lt;&gt;")+COUNTIF(UAT_USER!V47:V1044,"&lt;&gt;")</f>
        <v>0</v>
      </c>
      <c r="H23" s="1"/>
      <c r="I23" s="1"/>
      <c r="J23" s="1"/>
      <c r="K23" s="1"/>
    </row>
    <row r="24" spans="1:11" x14ac:dyDescent="0.3">
      <c r="A24" s="1"/>
      <c r="B24" s="1"/>
      <c r="C24" s="1"/>
      <c r="D24" s="1"/>
      <c r="E24" s="1"/>
      <c r="F24" s="1"/>
      <c r="G24" s="1"/>
      <c r="H24" s="1"/>
      <c r="I24" s="1"/>
      <c r="J24" s="1"/>
      <c r="K24" s="1"/>
    </row>
    <row r="25" spans="1:11" x14ac:dyDescent="0.3">
      <c r="A25" s="1"/>
      <c r="B25" s="1"/>
      <c r="C25" s="1"/>
      <c r="D25" s="1"/>
      <c r="E25" s="1"/>
      <c r="F25" s="1"/>
      <c r="G25" s="1"/>
      <c r="H25" s="1"/>
      <c r="I25" s="1"/>
      <c r="J25" s="1"/>
      <c r="K25" s="1"/>
    </row>
    <row r="26" spans="1:11" x14ac:dyDescent="0.3">
      <c r="A26" s="1"/>
      <c r="B26" s="1"/>
      <c r="C26" s="1"/>
      <c r="D26" s="1"/>
      <c r="E26" s="1"/>
      <c r="F26" s="1"/>
      <c r="G26" s="1"/>
      <c r="H26" s="1"/>
      <c r="I26" s="1"/>
      <c r="J26" s="1"/>
      <c r="K26" s="1"/>
    </row>
    <row r="27" spans="1:11" x14ac:dyDescent="0.3">
      <c r="A27" s="1"/>
      <c r="B27" s="1"/>
      <c r="C27" s="1"/>
      <c r="D27" s="1"/>
      <c r="E27" s="1"/>
      <c r="F27" s="1"/>
      <c r="G27" s="1"/>
      <c r="H27" s="1"/>
      <c r="I27" s="1"/>
      <c r="J27" s="1"/>
      <c r="K27" s="1"/>
    </row>
    <row r="28" spans="1:11" x14ac:dyDescent="0.3">
      <c r="A28" s="1"/>
      <c r="B28" s="1"/>
      <c r="C28" s="1"/>
      <c r="D28" s="1"/>
      <c r="E28" s="1"/>
      <c r="F28" s="1"/>
      <c r="G28" s="1"/>
      <c r="H28" s="1"/>
      <c r="I28" s="1"/>
      <c r="J28" s="1"/>
      <c r="K28" s="1"/>
    </row>
    <row r="29" spans="1:11" x14ac:dyDescent="0.3">
      <c r="A29" s="1"/>
      <c r="B29" s="1"/>
      <c r="C29" s="1"/>
      <c r="D29" s="1"/>
      <c r="E29" s="1"/>
      <c r="F29" s="1"/>
      <c r="G29" s="1"/>
      <c r="H29" s="1"/>
      <c r="I29" s="1"/>
      <c r="J29" s="1"/>
      <c r="K29" s="1"/>
    </row>
    <row r="30" spans="1:11" x14ac:dyDescent="0.3">
      <c r="A30" s="1"/>
      <c r="B30" s="1"/>
      <c r="C30" s="1"/>
      <c r="D30" s="1"/>
      <c r="E30" s="1"/>
      <c r="F30" s="1"/>
      <c r="G30" s="1"/>
      <c r="H30" s="1"/>
      <c r="I30" s="1"/>
      <c r="J30" s="1"/>
      <c r="K30" s="1"/>
    </row>
    <row r="31" spans="1:11" x14ac:dyDescent="0.3">
      <c r="A31" s="1"/>
      <c r="B31" s="1"/>
      <c r="C31" s="1"/>
      <c r="D31" s="1"/>
      <c r="E31" s="1"/>
      <c r="F31" s="1"/>
      <c r="G31" s="1"/>
      <c r="H31" s="1"/>
      <c r="I31" s="1"/>
      <c r="J31" s="1"/>
      <c r="K31" s="1"/>
    </row>
    <row r="32" spans="1:11" x14ac:dyDescent="0.3">
      <c r="A32" s="1"/>
      <c r="B32" s="1"/>
      <c r="C32" s="1"/>
      <c r="D32" s="1"/>
      <c r="E32" s="1"/>
      <c r="F32" s="1"/>
      <c r="G32" s="1"/>
      <c r="H32" s="1"/>
      <c r="I32" s="1"/>
      <c r="J32" s="1"/>
      <c r="K32" s="1"/>
    </row>
    <row r="33" spans="1:11" x14ac:dyDescent="0.3">
      <c r="A33" s="1"/>
      <c r="B33" s="1"/>
      <c r="C33" s="1"/>
      <c r="D33" s="1"/>
      <c r="E33" s="1"/>
      <c r="F33" s="1"/>
      <c r="G33" s="1"/>
      <c r="H33" s="1"/>
      <c r="I33" s="1"/>
      <c r="J33" s="1"/>
      <c r="K33" s="1"/>
    </row>
    <row r="34" spans="1:11" x14ac:dyDescent="0.3">
      <c r="A34" s="1"/>
      <c r="B34" s="1"/>
      <c r="C34" s="1"/>
      <c r="D34" s="1"/>
      <c r="E34" s="1"/>
      <c r="F34" s="1"/>
      <c r="G34" s="1"/>
      <c r="H34" s="1"/>
      <c r="I34" s="1"/>
      <c r="J34" s="1"/>
      <c r="K34" s="1"/>
    </row>
    <row r="35" spans="1:11" x14ac:dyDescent="0.3">
      <c r="A35" s="1"/>
      <c r="B35" s="1"/>
      <c r="C35" s="1"/>
      <c r="D35" s="1"/>
      <c r="E35" s="1"/>
      <c r="F35" s="1"/>
      <c r="G35" s="1"/>
      <c r="H35" s="1"/>
      <c r="I35" s="1"/>
      <c r="J35" s="1"/>
      <c r="K35" s="1"/>
    </row>
    <row r="36" spans="1:11" x14ac:dyDescent="0.3">
      <c r="A36" s="1"/>
      <c r="B36" s="1"/>
      <c r="C36" s="1"/>
      <c r="D36" s="1"/>
      <c r="E36" s="1"/>
      <c r="F36" s="1"/>
      <c r="G36" s="1"/>
      <c r="H36" s="1"/>
      <c r="I36" s="1"/>
      <c r="J36" s="1"/>
      <c r="K36" s="1"/>
    </row>
    <row r="37" spans="1:11" x14ac:dyDescent="0.3">
      <c r="A37" s="1"/>
      <c r="B37" s="1"/>
      <c r="C37" s="1"/>
      <c r="D37" s="1"/>
      <c r="E37" s="1"/>
      <c r="F37" s="1"/>
      <c r="G37" s="1"/>
      <c r="H37" s="1"/>
      <c r="I37" s="1"/>
      <c r="J37" s="1"/>
      <c r="K37" s="1"/>
    </row>
    <row r="38" spans="1:11" x14ac:dyDescent="0.3">
      <c r="A38" s="1"/>
      <c r="B38" s="1"/>
      <c r="C38" s="1"/>
      <c r="D38" s="1"/>
      <c r="E38" s="1"/>
      <c r="F38" s="1"/>
      <c r="G38" s="1"/>
      <c r="H38" s="1"/>
      <c r="I38" s="1"/>
      <c r="J38" s="1"/>
      <c r="K38" s="1"/>
    </row>
    <row r="39" spans="1:11" x14ac:dyDescent="0.3">
      <c r="A39" s="1"/>
      <c r="B39" s="1"/>
      <c r="C39" s="1"/>
      <c r="D39" s="1"/>
      <c r="E39" s="1"/>
      <c r="F39" s="1"/>
      <c r="G39" s="1"/>
      <c r="H39" s="1"/>
      <c r="I39" s="1"/>
      <c r="J39" s="1"/>
      <c r="K39" s="1"/>
    </row>
    <row r="40" spans="1:11" x14ac:dyDescent="0.3">
      <c r="A40" s="1"/>
      <c r="B40" s="1"/>
      <c r="C40" s="1"/>
      <c r="D40" s="1"/>
      <c r="E40" s="1"/>
      <c r="F40" s="1"/>
      <c r="G40" s="1"/>
      <c r="H40" s="1"/>
      <c r="I40" s="1"/>
      <c r="J40" s="1"/>
      <c r="K40" s="1"/>
    </row>
    <row r="41" spans="1:11" x14ac:dyDescent="0.3">
      <c r="A41" s="23"/>
      <c r="B41" s="23"/>
      <c r="C41" s="23"/>
      <c r="D41" s="23"/>
      <c r="E41" s="23"/>
      <c r="F41" s="23"/>
      <c r="G41" s="23"/>
      <c r="H41" s="23"/>
      <c r="I41" s="23"/>
      <c r="J41" s="23"/>
      <c r="K41" s="23"/>
    </row>
    <row r="42" spans="1:11" x14ac:dyDescent="0.3">
      <c r="A42" s="23"/>
      <c r="B42" s="23"/>
      <c r="C42" s="23"/>
      <c r="D42" s="23"/>
      <c r="E42" s="23"/>
      <c r="F42" s="23"/>
      <c r="G42" s="23"/>
      <c r="H42" s="23"/>
      <c r="I42" s="23"/>
      <c r="J42" s="23"/>
      <c r="K42" s="23"/>
    </row>
    <row r="43" spans="1:11" x14ac:dyDescent="0.3">
      <c r="A43" s="23"/>
      <c r="B43" s="23"/>
      <c r="C43" s="23"/>
      <c r="D43" s="23"/>
      <c r="E43" s="23"/>
      <c r="F43" s="23"/>
      <c r="G43" s="23"/>
      <c r="H43" s="23"/>
      <c r="I43" s="23"/>
      <c r="J43" s="23"/>
      <c r="K43" s="23"/>
    </row>
    <row r="44" spans="1:11" x14ac:dyDescent="0.3">
      <c r="A44" s="23"/>
      <c r="B44" s="23"/>
      <c r="C44" s="23"/>
      <c r="D44" s="23"/>
      <c r="E44" s="23"/>
      <c r="F44" s="23"/>
      <c r="G44" s="23"/>
      <c r="H44" s="23"/>
      <c r="I44" s="23"/>
      <c r="J44" s="23"/>
      <c r="K44" s="23"/>
    </row>
    <row r="45" spans="1:11" x14ac:dyDescent="0.3">
      <c r="A45" s="23"/>
      <c r="B45" s="23"/>
      <c r="C45" s="23"/>
      <c r="D45" s="23"/>
      <c r="E45" s="23"/>
      <c r="F45" s="23"/>
      <c r="G45" s="23"/>
      <c r="H45" s="23"/>
      <c r="I45" s="23"/>
      <c r="J45" s="23"/>
      <c r="K45" s="23"/>
    </row>
    <row r="46" spans="1:11" x14ac:dyDescent="0.3">
      <c r="A46" s="23"/>
      <c r="B46" s="23"/>
      <c r="C46" s="23"/>
      <c r="D46" s="23"/>
      <c r="E46" s="23"/>
      <c r="F46" s="23"/>
      <c r="G46" s="23"/>
      <c r="H46" s="23"/>
      <c r="I46" s="23"/>
      <c r="J46" s="23"/>
      <c r="K46" s="23"/>
    </row>
    <row r="47" spans="1:11" x14ac:dyDescent="0.3">
      <c r="A47" s="23"/>
      <c r="B47" s="23"/>
      <c r="C47" s="23"/>
      <c r="D47" s="23"/>
      <c r="E47" s="23"/>
      <c r="F47" s="23"/>
      <c r="G47" s="23"/>
      <c r="H47" s="23"/>
      <c r="I47" s="23"/>
      <c r="J47" s="23"/>
      <c r="K47" s="23"/>
    </row>
    <row r="48" spans="1:11" x14ac:dyDescent="0.3">
      <c r="A48" s="23"/>
      <c r="B48" s="23"/>
      <c r="C48" s="23"/>
      <c r="D48" s="23"/>
      <c r="E48" s="23"/>
      <c r="F48" s="23"/>
      <c r="G48" s="23"/>
      <c r="H48" s="23"/>
      <c r="I48" s="23"/>
      <c r="J48" s="23"/>
      <c r="K48" s="23"/>
    </row>
    <row r="49" spans="1:11" x14ac:dyDescent="0.3">
      <c r="A49" s="23"/>
      <c r="B49" s="23"/>
      <c r="C49" s="23"/>
      <c r="D49" s="23"/>
      <c r="E49" s="23"/>
      <c r="F49" s="23"/>
      <c r="G49" s="23"/>
      <c r="H49" s="23"/>
      <c r="I49" s="23"/>
      <c r="J49" s="23"/>
      <c r="K49" s="23"/>
    </row>
    <row r="50" spans="1:11" x14ac:dyDescent="0.3">
      <c r="A50" s="23"/>
      <c r="B50" s="23"/>
      <c r="C50" s="23"/>
      <c r="D50" s="23"/>
      <c r="E50" s="23"/>
      <c r="F50" s="23"/>
      <c r="G50" s="23"/>
      <c r="H50" s="23"/>
      <c r="I50" s="23"/>
      <c r="J50" s="23"/>
      <c r="K50" s="23"/>
    </row>
    <row r="51" spans="1:11" x14ac:dyDescent="0.3">
      <c r="A51" s="23"/>
      <c r="B51" s="23"/>
      <c r="C51" s="23"/>
      <c r="D51" s="23"/>
      <c r="E51" s="23"/>
      <c r="F51" s="23"/>
      <c r="G51" s="23"/>
      <c r="H51" s="23"/>
      <c r="I51" s="23"/>
      <c r="J51" s="23"/>
      <c r="K51" s="23"/>
    </row>
    <row r="52" spans="1:11" x14ac:dyDescent="0.3">
      <c r="A52" s="23"/>
      <c r="B52" s="23"/>
      <c r="C52" s="23"/>
      <c r="D52" s="23"/>
      <c r="E52" s="23"/>
      <c r="F52" s="23"/>
      <c r="G52" s="23"/>
      <c r="H52" s="23"/>
      <c r="I52" s="23"/>
      <c r="J52" s="23"/>
      <c r="K52" s="23"/>
    </row>
    <row r="53" spans="1:11" x14ac:dyDescent="0.3">
      <c r="A53" s="23"/>
      <c r="B53" s="23"/>
      <c r="C53" s="23"/>
      <c r="D53" s="23"/>
      <c r="E53" s="23"/>
      <c r="F53" s="23"/>
      <c r="G53" s="23"/>
      <c r="H53" s="23"/>
      <c r="I53" s="23"/>
      <c r="J53" s="23"/>
      <c r="K53" s="23"/>
    </row>
    <row r="54" spans="1:11" x14ac:dyDescent="0.3">
      <c r="A54" s="23"/>
      <c r="B54" s="23"/>
      <c r="C54" s="23"/>
      <c r="D54" s="23"/>
      <c r="E54" s="23"/>
      <c r="F54" s="23"/>
      <c r="G54" s="23"/>
      <c r="H54" s="23"/>
      <c r="I54" s="23"/>
      <c r="J54" s="23"/>
      <c r="K54" s="23"/>
    </row>
    <row r="55" spans="1:11" x14ac:dyDescent="0.3">
      <c r="A55" s="23"/>
      <c r="B55" s="23"/>
      <c r="C55" s="23"/>
      <c r="D55" s="23"/>
      <c r="E55" s="23"/>
      <c r="F55" s="23"/>
      <c r="G55" s="23"/>
      <c r="H55" s="23"/>
      <c r="I55" s="23"/>
      <c r="J55" s="23"/>
      <c r="K55" s="23"/>
    </row>
    <row r="56" spans="1:11" x14ac:dyDescent="0.3">
      <c r="A56" s="23"/>
      <c r="B56" s="23"/>
      <c r="C56" s="23"/>
      <c r="D56" s="23"/>
      <c r="E56" s="23"/>
      <c r="F56" s="23"/>
      <c r="G56" s="23"/>
      <c r="H56" s="23"/>
      <c r="I56" s="23"/>
      <c r="J56" s="23"/>
      <c r="K56" s="23"/>
    </row>
    <row r="57" spans="1:11" x14ac:dyDescent="0.3">
      <c r="A57" s="23"/>
      <c r="B57" s="23"/>
      <c r="C57" s="23"/>
      <c r="D57" s="23"/>
      <c r="E57" s="23"/>
      <c r="F57" s="23"/>
      <c r="G57" s="23"/>
      <c r="H57" s="23"/>
      <c r="I57" s="23"/>
      <c r="J57" s="23"/>
      <c r="K57" s="23"/>
    </row>
    <row r="58" spans="1:11" x14ac:dyDescent="0.3">
      <c r="A58" s="23"/>
      <c r="B58" s="23"/>
      <c r="C58" s="23"/>
      <c r="D58" s="23"/>
      <c r="E58" s="23"/>
      <c r="F58" s="23"/>
      <c r="G58" s="23"/>
      <c r="H58" s="23"/>
      <c r="I58" s="23"/>
      <c r="J58" s="23"/>
      <c r="K58" s="23"/>
    </row>
    <row r="59" spans="1:11" x14ac:dyDescent="0.3">
      <c r="A59" s="23"/>
      <c r="B59" s="23"/>
      <c r="C59" s="23"/>
      <c r="D59" s="23"/>
      <c r="E59" s="23"/>
      <c r="F59" s="23"/>
      <c r="G59" s="23"/>
      <c r="H59" s="23"/>
      <c r="I59" s="23"/>
      <c r="J59" s="23"/>
      <c r="K59" s="23"/>
    </row>
    <row r="60" spans="1:11" x14ac:dyDescent="0.3">
      <c r="A60" s="23"/>
      <c r="B60" s="23"/>
      <c r="C60" s="23"/>
      <c r="D60" s="23"/>
      <c r="E60" s="23"/>
      <c r="F60" s="23"/>
      <c r="G60" s="23"/>
      <c r="H60" s="23"/>
      <c r="I60" s="23"/>
      <c r="J60" s="23"/>
      <c r="K60" s="23"/>
    </row>
    <row r="61" spans="1:11" x14ac:dyDescent="0.3">
      <c r="A61" s="23"/>
      <c r="B61" s="23"/>
      <c r="C61" s="23"/>
      <c r="D61" s="23"/>
      <c r="E61" s="23"/>
      <c r="F61" s="23"/>
      <c r="G61" s="23"/>
      <c r="H61" s="23"/>
      <c r="I61" s="23"/>
      <c r="J61" s="23"/>
      <c r="K61" s="23"/>
    </row>
    <row r="62" spans="1:11" x14ac:dyDescent="0.3">
      <c r="A62" s="23"/>
      <c r="B62" s="23"/>
      <c r="C62" s="23"/>
      <c r="D62" s="23"/>
      <c r="E62" s="23"/>
      <c r="F62" s="23"/>
      <c r="G62" s="23"/>
      <c r="H62" s="23"/>
      <c r="I62" s="23"/>
      <c r="J62" s="23"/>
      <c r="K62" s="23"/>
    </row>
    <row r="63" spans="1:11" x14ac:dyDescent="0.3">
      <c r="A63" s="23"/>
      <c r="B63" s="23"/>
      <c r="C63" s="23"/>
      <c r="D63" s="23"/>
      <c r="E63" s="23"/>
      <c r="F63" s="23"/>
      <c r="G63" s="23"/>
      <c r="H63" s="23"/>
      <c r="I63" s="23"/>
      <c r="J63" s="23"/>
      <c r="K63" s="23"/>
    </row>
    <row r="64" spans="1:11" x14ac:dyDescent="0.3">
      <c r="A64" s="23"/>
      <c r="B64" s="23"/>
      <c r="C64" s="23"/>
      <c r="D64" s="23"/>
      <c r="E64" s="23"/>
      <c r="F64" s="23"/>
      <c r="G64" s="23"/>
      <c r="H64" s="23"/>
      <c r="I64" s="23"/>
      <c r="J64" s="23"/>
      <c r="K64" s="23"/>
    </row>
    <row r="65" spans="1:11" x14ac:dyDescent="0.3">
      <c r="A65" s="23"/>
      <c r="B65" s="23"/>
      <c r="C65" s="23"/>
      <c r="D65" s="23"/>
      <c r="E65" s="23"/>
      <c r="F65" s="23"/>
      <c r="G65" s="23"/>
      <c r="H65" s="23"/>
      <c r="I65" s="23"/>
      <c r="J65" s="23"/>
      <c r="K65" s="23"/>
    </row>
    <row r="66" spans="1:11" x14ac:dyDescent="0.3">
      <c r="A66" s="23"/>
      <c r="B66" s="23"/>
      <c r="C66" s="23"/>
      <c r="D66" s="23"/>
      <c r="E66" s="23"/>
      <c r="F66" s="23"/>
      <c r="G66" s="23"/>
      <c r="H66" s="23"/>
      <c r="I66" s="23"/>
      <c r="J66" s="23"/>
      <c r="K66" s="23"/>
    </row>
    <row r="67" spans="1:11" x14ac:dyDescent="0.3">
      <c r="A67" s="23"/>
      <c r="B67" s="23"/>
      <c r="C67" s="23"/>
      <c r="D67" s="23"/>
      <c r="E67" s="23"/>
      <c r="F67" s="23"/>
      <c r="G67" s="23"/>
      <c r="H67" s="23"/>
      <c r="I67" s="23"/>
      <c r="J67" s="23"/>
      <c r="K67" s="23"/>
    </row>
    <row r="68" spans="1:11" x14ac:dyDescent="0.3">
      <c r="A68" s="23"/>
      <c r="B68" s="23"/>
      <c r="C68" s="23"/>
      <c r="D68" s="23"/>
      <c r="E68" s="23"/>
      <c r="F68" s="23"/>
      <c r="G68" s="23"/>
      <c r="H68" s="23"/>
      <c r="I68" s="23"/>
      <c r="J68" s="23"/>
      <c r="K68" s="23"/>
    </row>
    <row r="69" spans="1:11" x14ac:dyDescent="0.3">
      <c r="A69" s="23"/>
      <c r="B69" s="23"/>
      <c r="C69" s="23"/>
      <c r="D69" s="23"/>
      <c r="E69" s="23"/>
      <c r="F69" s="23"/>
      <c r="G69" s="23"/>
      <c r="H69" s="23"/>
      <c r="I69" s="23"/>
      <c r="J69" s="23"/>
      <c r="K69" s="23"/>
    </row>
    <row r="70" spans="1:11" x14ac:dyDescent="0.3">
      <c r="A70" s="23"/>
      <c r="B70" s="23"/>
      <c r="C70" s="23"/>
      <c r="D70" s="23"/>
      <c r="E70" s="23"/>
      <c r="F70" s="23"/>
      <c r="G70" s="23"/>
      <c r="H70" s="23"/>
      <c r="I70" s="23"/>
      <c r="J70" s="23"/>
      <c r="K70" s="23"/>
    </row>
    <row r="71" spans="1:11" x14ac:dyDescent="0.3">
      <c r="A71" s="23"/>
      <c r="B71" s="23"/>
      <c r="C71" s="23"/>
      <c r="D71" s="23"/>
      <c r="E71" s="23"/>
      <c r="F71" s="23"/>
      <c r="G71" s="23"/>
      <c r="H71" s="23"/>
      <c r="I71" s="23"/>
      <c r="J71" s="23"/>
      <c r="K71" s="23"/>
    </row>
    <row r="72" spans="1:11" x14ac:dyDescent="0.3">
      <c r="A72" s="23"/>
      <c r="B72" s="23"/>
      <c r="C72" s="23"/>
      <c r="D72" s="23"/>
      <c r="E72" s="23"/>
      <c r="F72" s="23"/>
      <c r="G72" s="23"/>
      <c r="H72" s="23"/>
      <c r="I72" s="23"/>
      <c r="J72" s="23"/>
      <c r="K72" s="23"/>
    </row>
    <row r="73" spans="1:11" x14ac:dyDescent="0.3">
      <c r="A73" s="23"/>
      <c r="B73" s="23"/>
      <c r="C73" s="23"/>
      <c r="D73" s="23"/>
      <c r="E73" s="23"/>
      <c r="F73" s="23"/>
      <c r="G73" s="23"/>
      <c r="H73" s="23"/>
      <c r="I73" s="23"/>
      <c r="J73" s="23"/>
      <c r="K73" s="23"/>
    </row>
    <row r="74" spans="1:11" x14ac:dyDescent="0.3">
      <c r="A74" s="23"/>
      <c r="B74" s="23"/>
      <c r="C74" s="23"/>
      <c r="D74" s="23"/>
      <c r="E74" s="23"/>
      <c r="F74" s="23"/>
      <c r="G74" s="23"/>
      <c r="H74" s="23"/>
      <c r="I74" s="23"/>
      <c r="J74" s="23"/>
      <c r="K74" s="23"/>
    </row>
    <row r="75" spans="1:11" x14ac:dyDescent="0.3">
      <c r="A75" s="23"/>
      <c r="B75" s="23"/>
      <c r="C75" s="23"/>
      <c r="D75" s="23"/>
      <c r="E75" s="23"/>
      <c r="F75" s="23"/>
      <c r="G75" s="23"/>
      <c r="H75" s="23"/>
      <c r="I75" s="23"/>
      <c r="J75" s="23"/>
      <c r="K75" s="23"/>
    </row>
    <row r="76" spans="1:11" x14ac:dyDescent="0.3">
      <c r="A76" s="23"/>
      <c r="B76" s="23"/>
      <c r="C76" s="23"/>
      <c r="D76" s="23"/>
      <c r="E76" s="23"/>
      <c r="F76" s="23"/>
      <c r="G76" s="23"/>
      <c r="H76" s="23"/>
      <c r="I76" s="23"/>
      <c r="J76" s="23"/>
      <c r="K76" s="23"/>
    </row>
    <row r="77" spans="1:11" x14ac:dyDescent="0.3">
      <c r="A77" s="23"/>
      <c r="B77" s="23"/>
      <c r="C77" s="23"/>
      <c r="D77" s="23"/>
      <c r="E77" s="23"/>
      <c r="F77" s="23"/>
      <c r="G77" s="23"/>
      <c r="H77" s="23"/>
      <c r="I77" s="23"/>
      <c r="J77" s="23"/>
      <c r="K77" s="23"/>
    </row>
    <row r="78" spans="1:11" x14ac:dyDescent="0.3">
      <c r="A78" s="23"/>
      <c r="B78" s="23"/>
      <c r="C78" s="23"/>
      <c r="D78" s="23"/>
      <c r="E78" s="23"/>
      <c r="F78" s="23"/>
      <c r="G78" s="23"/>
      <c r="H78" s="23"/>
      <c r="I78" s="23"/>
      <c r="J78" s="23"/>
      <c r="K78" s="23"/>
    </row>
    <row r="79" spans="1:11" x14ac:dyDescent="0.3">
      <c r="A79" s="23"/>
      <c r="B79" s="23"/>
      <c r="C79" s="23"/>
      <c r="D79" s="23"/>
      <c r="E79" s="23"/>
      <c r="F79" s="23"/>
      <c r="G79" s="23"/>
      <c r="H79" s="23"/>
      <c r="I79" s="23"/>
      <c r="J79" s="23"/>
      <c r="K79" s="23"/>
    </row>
    <row r="80" spans="1:11" x14ac:dyDescent="0.3">
      <c r="A80" s="23"/>
      <c r="B80" s="23"/>
      <c r="C80" s="23"/>
      <c r="D80" s="23"/>
      <c r="E80" s="23"/>
      <c r="F80" s="23"/>
      <c r="G80" s="23"/>
      <c r="H80" s="23"/>
      <c r="I80" s="23"/>
      <c r="J80" s="23"/>
      <c r="K80" s="23"/>
    </row>
  </sheetData>
  <mergeCells count="1">
    <mergeCell ref="A1:C1"/>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
  <sheetViews>
    <sheetView workbookViewId="0">
      <selection activeCell="F13" sqref="F13"/>
    </sheetView>
  </sheetViews>
  <sheetFormatPr defaultRowHeight="14.4" x14ac:dyDescent="0.3"/>
  <cols>
    <col min="1" max="1" width="22" customWidth="1"/>
    <col min="2" max="2" width="78.88671875" bestFit="1" customWidth="1"/>
    <col min="4" max="4" width="18" customWidth="1"/>
    <col min="5" max="5" width="52.77734375" bestFit="1" customWidth="1"/>
    <col min="6" max="6" width="32" customWidth="1"/>
  </cols>
  <sheetData>
    <row r="1" spans="1:11" x14ac:dyDescent="0.3">
      <c r="A1" s="39" t="s">
        <v>20</v>
      </c>
      <c r="B1" s="40"/>
      <c r="C1" s="40"/>
      <c r="D1" s="40"/>
      <c r="E1" s="40"/>
      <c r="F1" s="40"/>
      <c r="G1" s="40"/>
      <c r="H1" s="40"/>
      <c r="I1" s="23"/>
      <c r="J1" s="23"/>
      <c r="K1" s="23"/>
    </row>
    <row r="2" spans="1:11" x14ac:dyDescent="0.3">
      <c r="A2" s="23"/>
      <c r="B2" s="23"/>
      <c r="C2" s="23"/>
      <c r="D2" s="23"/>
      <c r="E2" s="23"/>
      <c r="F2" s="23"/>
      <c r="G2" s="23"/>
      <c r="H2" s="23"/>
      <c r="I2" s="23"/>
      <c r="J2" s="23"/>
      <c r="K2" s="23"/>
    </row>
    <row r="3" spans="1:11" ht="15" customHeight="1" x14ac:dyDescent="0.3">
      <c r="A3" s="14" t="s">
        <v>21</v>
      </c>
      <c r="B3" s="14" t="s">
        <v>22</v>
      </c>
      <c r="C3" s="23"/>
      <c r="D3" s="14" t="s">
        <v>2</v>
      </c>
      <c r="E3" s="14" t="s">
        <v>23</v>
      </c>
      <c r="F3" s="14" t="s">
        <v>24</v>
      </c>
      <c r="G3" s="23"/>
      <c r="H3" s="23"/>
      <c r="I3" s="23"/>
      <c r="J3" s="23"/>
      <c r="K3" s="23"/>
    </row>
    <row r="4" spans="1:11" ht="18" customHeight="1" x14ac:dyDescent="0.3">
      <c r="A4" s="24" t="s">
        <v>25</v>
      </c>
      <c r="B4" s="24" t="s">
        <v>26</v>
      </c>
      <c r="C4" s="23"/>
      <c r="D4" s="24" t="s">
        <v>5</v>
      </c>
      <c r="E4" s="24" t="s">
        <v>27</v>
      </c>
      <c r="F4" s="24" t="s">
        <v>28</v>
      </c>
      <c r="G4" s="23"/>
      <c r="H4" s="23"/>
      <c r="I4" s="23"/>
      <c r="J4" s="23"/>
      <c r="K4" s="23"/>
    </row>
    <row r="5" spans="1:11" ht="18" customHeight="1" x14ac:dyDescent="0.3">
      <c r="A5" s="24" t="s">
        <v>11</v>
      </c>
      <c r="B5" s="24" t="s">
        <v>29</v>
      </c>
      <c r="C5" s="23"/>
      <c r="D5" s="24" t="s">
        <v>6</v>
      </c>
      <c r="E5" s="24" t="s">
        <v>30</v>
      </c>
      <c r="F5" s="24" t="s">
        <v>31</v>
      </c>
      <c r="G5" s="23"/>
      <c r="H5" s="23"/>
      <c r="I5" s="23"/>
      <c r="J5" s="23"/>
      <c r="K5" s="23"/>
    </row>
    <row r="6" spans="1:11" ht="18" customHeight="1" x14ac:dyDescent="0.3">
      <c r="A6" s="24" t="s">
        <v>32</v>
      </c>
      <c r="B6" s="24" t="s">
        <v>33</v>
      </c>
      <c r="C6" s="23"/>
      <c r="D6" s="24" t="s">
        <v>7</v>
      </c>
      <c r="E6" s="24" t="s">
        <v>34</v>
      </c>
      <c r="F6" s="24" t="s">
        <v>35</v>
      </c>
      <c r="G6" s="23"/>
      <c r="H6" s="23"/>
      <c r="I6" s="23"/>
      <c r="J6" s="23"/>
      <c r="K6" s="23"/>
    </row>
    <row r="7" spans="1:11" ht="18" customHeight="1" x14ac:dyDescent="0.3">
      <c r="A7" s="24" t="s">
        <v>36</v>
      </c>
      <c r="B7" s="24" t="s">
        <v>37</v>
      </c>
      <c r="C7" s="23"/>
      <c r="D7" s="24" t="s">
        <v>8</v>
      </c>
      <c r="E7" s="24" t="s">
        <v>38</v>
      </c>
      <c r="F7" s="24" t="s">
        <v>39</v>
      </c>
      <c r="G7" s="23"/>
      <c r="H7" s="23"/>
      <c r="I7" s="23"/>
      <c r="J7" s="23"/>
      <c r="K7" s="23"/>
    </row>
    <row r="8" spans="1:11" ht="18" customHeight="1" x14ac:dyDescent="0.3">
      <c r="A8" s="24" t="s">
        <v>40</v>
      </c>
      <c r="B8" s="24" t="s">
        <v>41</v>
      </c>
      <c r="C8" s="23"/>
      <c r="D8" s="24" t="s">
        <v>9</v>
      </c>
      <c r="E8" s="24" t="s">
        <v>42</v>
      </c>
      <c r="F8" s="24" t="s">
        <v>43</v>
      </c>
      <c r="G8" s="23"/>
      <c r="H8" s="23"/>
      <c r="I8" s="23"/>
      <c r="J8" s="23"/>
      <c r="K8" s="23"/>
    </row>
    <row r="9" spans="1:11" ht="18" customHeight="1" x14ac:dyDescent="0.3">
      <c r="A9" s="24" t="s">
        <v>44</v>
      </c>
      <c r="B9" s="24" t="s">
        <v>45</v>
      </c>
      <c r="C9" s="23"/>
      <c r="D9" s="23"/>
      <c r="E9" s="23"/>
      <c r="F9" s="23"/>
      <c r="G9" s="23"/>
      <c r="H9" s="23"/>
      <c r="I9" s="23"/>
      <c r="J9" s="23"/>
      <c r="K9" s="23"/>
    </row>
    <row r="10" spans="1:11" ht="18" customHeight="1" x14ac:dyDescent="0.3">
      <c r="A10" s="24" t="s">
        <v>46</v>
      </c>
      <c r="B10" s="24" t="s">
        <v>47</v>
      </c>
      <c r="C10" s="23"/>
      <c r="D10" s="23"/>
      <c r="E10" s="23"/>
      <c r="F10" s="23"/>
      <c r="G10" s="23"/>
      <c r="H10" s="23"/>
      <c r="I10" s="23"/>
      <c r="J10" s="23"/>
      <c r="K10" s="23"/>
    </row>
    <row r="11" spans="1:11" ht="18" customHeight="1" x14ac:dyDescent="0.3">
      <c r="A11" s="24" t="s">
        <v>48</v>
      </c>
      <c r="B11" s="24" t="s">
        <v>49</v>
      </c>
      <c r="C11" s="23"/>
      <c r="D11" s="23"/>
      <c r="E11" s="23"/>
      <c r="F11" s="23"/>
      <c r="G11" s="23"/>
      <c r="H11" s="23"/>
      <c r="I11" s="23"/>
      <c r="J11" s="23"/>
      <c r="K11" s="23"/>
    </row>
    <row r="12" spans="1:11" ht="18" customHeight="1" x14ac:dyDescent="0.3">
      <c r="A12" s="24" t="s">
        <v>50</v>
      </c>
      <c r="B12" s="24" t="s">
        <v>51</v>
      </c>
      <c r="C12" s="23"/>
      <c r="D12" s="23"/>
      <c r="E12" s="23"/>
      <c r="F12" s="23"/>
      <c r="G12" s="23"/>
      <c r="H12" s="23"/>
      <c r="I12" s="23"/>
      <c r="J12" s="23"/>
      <c r="K12" s="23"/>
    </row>
    <row r="13" spans="1:11" ht="18" customHeight="1" x14ac:dyDescent="0.3">
      <c r="A13" s="24" t="s">
        <v>2</v>
      </c>
      <c r="B13" s="24" t="s">
        <v>52</v>
      </c>
      <c r="C13" s="23"/>
      <c r="D13" s="23"/>
      <c r="E13" s="23"/>
      <c r="F13" s="23"/>
      <c r="G13" s="23"/>
      <c r="H13" s="23"/>
      <c r="I13" s="23"/>
      <c r="J13" s="23"/>
      <c r="K13" s="23"/>
    </row>
    <row r="14" spans="1:11" ht="18" customHeight="1" x14ac:dyDescent="0.3">
      <c r="A14" s="24" t="s">
        <v>53</v>
      </c>
      <c r="B14" s="24" t="s">
        <v>54</v>
      </c>
      <c r="C14" s="23"/>
      <c r="D14" s="23"/>
      <c r="E14" s="23"/>
      <c r="F14" s="23"/>
      <c r="G14" s="23"/>
      <c r="H14" s="23"/>
      <c r="I14" s="23"/>
      <c r="J14" s="23"/>
      <c r="K14" s="23"/>
    </row>
    <row r="15" spans="1:11" ht="18" customHeight="1" x14ac:dyDescent="0.3">
      <c r="A15" s="24" t="s">
        <v>55</v>
      </c>
      <c r="B15" s="24" t="s">
        <v>56</v>
      </c>
      <c r="C15" s="23"/>
      <c r="D15" s="23"/>
      <c r="E15" s="23"/>
      <c r="F15" s="23"/>
      <c r="G15" s="23"/>
      <c r="H15" s="23"/>
      <c r="I15" s="23"/>
      <c r="J15" s="23"/>
      <c r="K15" s="23"/>
    </row>
    <row r="16" spans="1:11" x14ac:dyDescent="0.3">
      <c r="A16" s="23"/>
      <c r="B16" s="23"/>
      <c r="C16" s="23"/>
      <c r="D16" s="23"/>
      <c r="E16" s="23"/>
      <c r="F16" s="23"/>
      <c r="G16" s="23"/>
      <c r="H16" s="23"/>
      <c r="I16" s="23"/>
      <c r="J16" s="23"/>
      <c r="K16" s="23"/>
    </row>
    <row r="17" spans="1:11" x14ac:dyDescent="0.3">
      <c r="A17" s="23"/>
      <c r="B17" s="23"/>
      <c r="C17" s="23"/>
      <c r="D17" s="23"/>
      <c r="E17" s="23"/>
      <c r="F17" s="23"/>
      <c r="G17" s="23"/>
      <c r="H17" s="23"/>
      <c r="I17" s="23"/>
      <c r="J17" s="23"/>
      <c r="K17" s="23"/>
    </row>
    <row r="18" spans="1:11" x14ac:dyDescent="0.3">
      <c r="A18" s="23"/>
      <c r="B18" s="23"/>
      <c r="C18" s="23"/>
      <c r="D18" s="23"/>
      <c r="E18" s="23"/>
      <c r="F18" s="23"/>
      <c r="G18" s="23"/>
      <c r="H18" s="23"/>
      <c r="I18" s="23"/>
      <c r="J18" s="23"/>
      <c r="K18" s="23"/>
    </row>
    <row r="19" spans="1:11" x14ac:dyDescent="0.3">
      <c r="A19" s="23"/>
      <c r="B19" s="23"/>
      <c r="C19" s="23"/>
      <c r="D19" s="23"/>
      <c r="E19" s="23"/>
      <c r="F19" s="23"/>
      <c r="G19" s="23"/>
      <c r="H19" s="23"/>
      <c r="I19" s="23"/>
      <c r="J19" s="23"/>
      <c r="K19" s="23"/>
    </row>
    <row r="20" spans="1:11" x14ac:dyDescent="0.3">
      <c r="A20" s="23"/>
      <c r="B20" s="23"/>
      <c r="C20" s="23"/>
      <c r="D20" s="23"/>
      <c r="E20" s="23"/>
      <c r="F20" s="23"/>
      <c r="G20" s="23"/>
      <c r="H20" s="23"/>
      <c r="I20" s="23"/>
      <c r="J20" s="23"/>
      <c r="K20" s="23"/>
    </row>
    <row r="21" spans="1:11" x14ac:dyDescent="0.3">
      <c r="A21" s="23"/>
      <c r="B21" s="23"/>
      <c r="C21" s="23"/>
      <c r="D21" s="23"/>
      <c r="E21" s="23"/>
      <c r="F21" s="23"/>
      <c r="G21" s="23"/>
      <c r="H21" s="23"/>
      <c r="I21" s="23"/>
      <c r="J21" s="23"/>
      <c r="K21" s="23"/>
    </row>
    <row r="22" spans="1:11" x14ac:dyDescent="0.3">
      <c r="A22" s="23"/>
      <c r="B22" s="23"/>
      <c r="C22" s="23"/>
      <c r="D22" s="23"/>
      <c r="E22" s="23"/>
      <c r="F22" s="23"/>
      <c r="G22" s="23"/>
      <c r="H22" s="23"/>
      <c r="I22" s="23"/>
      <c r="J22" s="23"/>
      <c r="K22" s="23"/>
    </row>
    <row r="23" spans="1:11" x14ac:dyDescent="0.3">
      <c r="A23" s="23"/>
      <c r="B23" s="23"/>
      <c r="C23" s="23"/>
      <c r="D23" s="23"/>
      <c r="E23" s="23"/>
      <c r="F23" s="23"/>
      <c r="G23" s="23"/>
      <c r="H23" s="23"/>
      <c r="I23" s="23"/>
      <c r="J23" s="23"/>
      <c r="K23" s="23"/>
    </row>
    <row r="24" spans="1:11" x14ac:dyDescent="0.3">
      <c r="A24" s="23"/>
      <c r="B24" s="23"/>
      <c r="C24" s="23"/>
      <c r="D24" s="23"/>
      <c r="E24" s="23"/>
      <c r="F24" s="23"/>
      <c r="G24" s="23"/>
      <c r="H24" s="23"/>
      <c r="I24" s="23"/>
      <c r="J24" s="23"/>
      <c r="K24" s="23"/>
    </row>
    <row r="25" spans="1:11" x14ac:dyDescent="0.3">
      <c r="A25" s="23"/>
      <c r="B25" s="23"/>
      <c r="C25" s="23"/>
      <c r="D25" s="23"/>
      <c r="E25" s="23"/>
      <c r="F25" s="23"/>
      <c r="G25" s="23"/>
      <c r="H25" s="23"/>
      <c r="I25" s="23"/>
      <c r="J25" s="23"/>
      <c r="K25" s="23"/>
    </row>
    <row r="26" spans="1:11" x14ac:dyDescent="0.3">
      <c r="A26" s="23"/>
      <c r="B26" s="23"/>
      <c r="C26" s="23"/>
      <c r="D26" s="23"/>
      <c r="E26" s="23"/>
      <c r="F26" s="23"/>
      <c r="G26" s="23"/>
      <c r="H26" s="23"/>
      <c r="I26" s="23"/>
      <c r="J26" s="23"/>
      <c r="K26" s="23"/>
    </row>
    <row r="27" spans="1:11" x14ac:dyDescent="0.3">
      <c r="A27" s="23"/>
      <c r="B27" s="23"/>
      <c r="C27" s="23"/>
      <c r="D27" s="23"/>
      <c r="E27" s="23"/>
      <c r="F27" s="23"/>
      <c r="G27" s="23"/>
      <c r="H27" s="23"/>
      <c r="I27" s="23"/>
      <c r="J27" s="23"/>
      <c r="K27" s="23"/>
    </row>
    <row r="28" spans="1:11" x14ac:dyDescent="0.3">
      <c r="A28" s="23"/>
      <c r="B28" s="23"/>
      <c r="C28" s="23"/>
      <c r="D28" s="23"/>
      <c r="E28" s="23"/>
      <c r="F28" s="23"/>
      <c r="G28" s="23"/>
      <c r="H28" s="23"/>
      <c r="I28" s="23"/>
      <c r="J28" s="23"/>
      <c r="K28" s="23"/>
    </row>
    <row r="29" spans="1:11" x14ac:dyDescent="0.3">
      <c r="A29" s="23"/>
      <c r="B29" s="23"/>
      <c r="C29" s="23"/>
      <c r="D29" s="23"/>
      <c r="E29" s="23"/>
      <c r="F29" s="23"/>
      <c r="G29" s="23"/>
      <c r="H29" s="23"/>
      <c r="I29" s="23"/>
      <c r="J29" s="23"/>
      <c r="K29" s="23"/>
    </row>
    <row r="30" spans="1:11" x14ac:dyDescent="0.3">
      <c r="A30" s="23"/>
      <c r="B30" s="23"/>
      <c r="C30" s="23"/>
      <c r="D30" s="23"/>
      <c r="E30" s="23"/>
      <c r="F30" s="23"/>
      <c r="G30" s="23"/>
      <c r="H30" s="23"/>
      <c r="I30" s="23"/>
      <c r="J30" s="23"/>
      <c r="K30" s="23"/>
    </row>
    <row r="31" spans="1:11" x14ac:dyDescent="0.3">
      <c r="A31" s="23"/>
      <c r="B31" s="23"/>
      <c r="C31" s="23"/>
      <c r="D31" s="23"/>
      <c r="E31" s="23"/>
      <c r="F31" s="23"/>
      <c r="G31" s="23"/>
      <c r="H31" s="23"/>
      <c r="I31" s="23"/>
      <c r="J31" s="23"/>
      <c r="K31" s="23"/>
    </row>
    <row r="32" spans="1:11" x14ac:dyDescent="0.3">
      <c r="A32" s="23"/>
      <c r="B32" s="23"/>
      <c r="C32" s="23"/>
      <c r="D32" s="23"/>
      <c r="E32" s="23"/>
      <c r="F32" s="23"/>
      <c r="G32" s="23"/>
      <c r="H32" s="23"/>
      <c r="I32" s="23"/>
      <c r="J32" s="23"/>
      <c r="K32" s="23"/>
    </row>
    <row r="33" spans="1:11" x14ac:dyDescent="0.3">
      <c r="A33" s="23"/>
      <c r="B33" s="23"/>
      <c r="C33" s="23"/>
      <c r="D33" s="23"/>
      <c r="E33" s="23"/>
      <c r="F33" s="23"/>
      <c r="G33" s="23"/>
      <c r="H33" s="23"/>
      <c r="I33" s="23"/>
      <c r="J33" s="23"/>
      <c r="K33" s="23"/>
    </row>
    <row r="34" spans="1:11" x14ac:dyDescent="0.3">
      <c r="A34" s="23"/>
      <c r="B34" s="23"/>
      <c r="C34" s="23"/>
      <c r="D34" s="23"/>
      <c r="E34" s="23"/>
      <c r="F34" s="23"/>
      <c r="G34" s="23"/>
      <c r="H34" s="23"/>
      <c r="I34" s="23"/>
      <c r="J34" s="23"/>
      <c r="K34" s="23"/>
    </row>
    <row r="35" spans="1:11" x14ac:dyDescent="0.3">
      <c r="A35" s="23"/>
      <c r="B35" s="23"/>
      <c r="C35" s="23"/>
      <c r="D35" s="23"/>
      <c r="E35" s="23"/>
      <c r="F35" s="23"/>
      <c r="G35" s="23"/>
      <c r="H35" s="23"/>
      <c r="I35" s="23"/>
      <c r="J35" s="23"/>
      <c r="K35" s="23"/>
    </row>
    <row r="36" spans="1:11" x14ac:dyDescent="0.3">
      <c r="A36" s="23"/>
      <c r="B36" s="23"/>
      <c r="C36" s="23"/>
      <c r="D36" s="23"/>
      <c r="E36" s="23"/>
      <c r="F36" s="23"/>
      <c r="G36" s="23"/>
      <c r="H36" s="23"/>
      <c r="I36" s="23"/>
      <c r="J36" s="23"/>
      <c r="K36" s="23"/>
    </row>
    <row r="37" spans="1:11" x14ac:dyDescent="0.3">
      <c r="A37" s="23"/>
      <c r="B37" s="23"/>
      <c r="C37" s="23"/>
      <c r="D37" s="23"/>
      <c r="E37" s="23"/>
      <c r="F37" s="23"/>
      <c r="G37" s="23"/>
      <c r="H37" s="23"/>
      <c r="I37" s="23"/>
      <c r="J37" s="23"/>
      <c r="K37" s="23"/>
    </row>
    <row r="38" spans="1:11" x14ac:dyDescent="0.3">
      <c r="A38" s="23"/>
      <c r="B38" s="23"/>
      <c r="C38" s="23"/>
      <c r="D38" s="23"/>
      <c r="E38" s="23"/>
      <c r="F38" s="23"/>
      <c r="G38" s="23"/>
      <c r="H38" s="23"/>
      <c r="I38" s="23"/>
      <c r="J38" s="23"/>
      <c r="K38" s="23"/>
    </row>
    <row r="39" spans="1:11" x14ac:dyDescent="0.3">
      <c r="A39" s="23"/>
      <c r="B39" s="23"/>
      <c r="C39" s="23"/>
      <c r="D39" s="23"/>
      <c r="E39" s="23"/>
      <c r="F39" s="23"/>
      <c r="G39" s="23"/>
      <c r="H39" s="23"/>
      <c r="I39" s="23"/>
      <c r="J39" s="23"/>
      <c r="K39" s="23"/>
    </row>
    <row r="40" spans="1:11" x14ac:dyDescent="0.3">
      <c r="A40" s="23"/>
      <c r="B40" s="23"/>
      <c r="C40" s="23"/>
      <c r="D40" s="23"/>
      <c r="E40" s="23"/>
      <c r="F40" s="23"/>
      <c r="G40" s="23"/>
      <c r="H40" s="23"/>
      <c r="I40" s="23"/>
      <c r="J40" s="23"/>
      <c r="K40" s="23"/>
    </row>
    <row r="41" spans="1:11" x14ac:dyDescent="0.3">
      <c r="A41" s="23"/>
      <c r="B41" s="23"/>
      <c r="C41" s="23"/>
      <c r="D41" s="23"/>
      <c r="E41" s="23"/>
      <c r="F41" s="23"/>
      <c r="G41" s="23"/>
      <c r="H41" s="23"/>
      <c r="I41" s="23"/>
      <c r="J41" s="23"/>
      <c r="K41" s="23"/>
    </row>
    <row r="42" spans="1:11" x14ac:dyDescent="0.3">
      <c r="A42" s="23"/>
      <c r="B42" s="23"/>
      <c r="C42" s="23"/>
      <c r="D42" s="23"/>
      <c r="E42" s="23"/>
      <c r="F42" s="23"/>
      <c r="G42" s="23"/>
      <c r="H42" s="23"/>
      <c r="I42" s="23"/>
      <c r="J42" s="23"/>
      <c r="K42" s="23"/>
    </row>
    <row r="43" spans="1:11" x14ac:dyDescent="0.3">
      <c r="A43" s="23"/>
      <c r="B43" s="23"/>
      <c r="C43" s="23"/>
      <c r="D43" s="23"/>
      <c r="E43" s="23"/>
      <c r="F43" s="23"/>
      <c r="G43" s="23"/>
      <c r="H43" s="23"/>
      <c r="I43" s="23"/>
      <c r="J43" s="23"/>
      <c r="K43" s="23"/>
    </row>
    <row r="44" spans="1:11" x14ac:dyDescent="0.3">
      <c r="A44" s="23"/>
      <c r="B44" s="23"/>
      <c r="C44" s="23"/>
      <c r="D44" s="23"/>
      <c r="E44" s="23"/>
      <c r="F44" s="23"/>
      <c r="G44" s="23"/>
      <c r="H44" s="23"/>
      <c r="I44" s="23"/>
      <c r="J44" s="23"/>
      <c r="K44" s="23"/>
    </row>
    <row r="45" spans="1:11" x14ac:dyDescent="0.3">
      <c r="A45" s="23"/>
      <c r="B45" s="23"/>
      <c r="C45" s="23"/>
      <c r="D45" s="23"/>
      <c r="E45" s="23"/>
      <c r="F45" s="23"/>
      <c r="G45" s="23"/>
      <c r="H45" s="23"/>
      <c r="I45" s="23"/>
      <c r="J45" s="23"/>
      <c r="K45" s="23"/>
    </row>
    <row r="46" spans="1:11" x14ac:dyDescent="0.3">
      <c r="A46" s="23"/>
      <c r="B46" s="23"/>
      <c r="C46" s="23"/>
      <c r="D46" s="23"/>
      <c r="E46" s="23"/>
      <c r="F46" s="23"/>
      <c r="G46" s="23"/>
      <c r="H46" s="23"/>
      <c r="I46" s="23"/>
      <c r="J46" s="23"/>
      <c r="K46" s="23"/>
    </row>
    <row r="47" spans="1:11" x14ac:dyDescent="0.3">
      <c r="A47" s="23"/>
      <c r="B47" s="23"/>
      <c r="C47" s="23"/>
      <c r="D47" s="23"/>
      <c r="E47" s="23"/>
      <c r="F47" s="23"/>
      <c r="G47" s="23"/>
      <c r="H47" s="23"/>
      <c r="I47" s="23"/>
      <c r="J47" s="23"/>
      <c r="K47" s="23"/>
    </row>
    <row r="48" spans="1:11" x14ac:dyDescent="0.3">
      <c r="A48" s="23"/>
      <c r="B48" s="23"/>
      <c r="C48" s="23"/>
      <c r="D48" s="23"/>
      <c r="E48" s="23"/>
      <c r="F48" s="23"/>
      <c r="G48" s="23"/>
      <c r="H48" s="23"/>
      <c r="I48" s="23"/>
      <c r="J48" s="23"/>
      <c r="K48" s="23"/>
    </row>
    <row r="49" spans="1:11" x14ac:dyDescent="0.3">
      <c r="A49" s="23"/>
      <c r="B49" s="23"/>
      <c r="C49" s="23"/>
      <c r="D49" s="23"/>
      <c r="E49" s="23"/>
      <c r="F49" s="23"/>
      <c r="G49" s="23"/>
      <c r="H49" s="23"/>
      <c r="I49" s="23"/>
      <c r="J49" s="23"/>
      <c r="K49" s="23"/>
    </row>
    <row r="50" spans="1:11" x14ac:dyDescent="0.3">
      <c r="A50" s="23"/>
      <c r="B50" s="23"/>
      <c r="C50" s="23"/>
      <c r="D50" s="23"/>
      <c r="E50" s="23"/>
      <c r="F50" s="23"/>
      <c r="G50" s="23"/>
      <c r="H50" s="23"/>
      <c r="I50" s="23"/>
      <c r="J50" s="23"/>
      <c r="K50" s="23"/>
    </row>
  </sheetData>
  <mergeCells count="1">
    <mergeCell ref="A1:H1"/>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0"/>
  <sheetViews>
    <sheetView workbookViewId="0">
      <selection activeCell="H2" sqref="H2"/>
    </sheetView>
  </sheetViews>
  <sheetFormatPr defaultRowHeight="14.4" x14ac:dyDescent="0.3"/>
  <cols>
    <col min="1" max="1" width="7.88671875" bestFit="1" customWidth="1"/>
    <col min="2" max="2" width="8" bestFit="1" customWidth="1"/>
    <col min="3" max="3" width="25.5546875" customWidth="1"/>
    <col min="4" max="4" width="9.88671875" bestFit="1" customWidth="1"/>
    <col min="5" max="5" width="25" bestFit="1" customWidth="1"/>
  </cols>
  <sheetData>
    <row r="1" spans="1:12" ht="15" customHeight="1" x14ac:dyDescent="0.3">
      <c r="A1" s="6" t="s">
        <v>2</v>
      </c>
      <c r="B1" s="6" t="s">
        <v>53</v>
      </c>
      <c r="C1" s="25"/>
      <c r="D1" s="14" t="s">
        <v>11</v>
      </c>
      <c r="E1" s="14" t="s">
        <v>2</v>
      </c>
      <c r="F1" s="23"/>
      <c r="G1" s="23"/>
      <c r="H1" s="23"/>
      <c r="I1" s="23"/>
      <c r="J1" s="23"/>
      <c r="K1" s="23"/>
      <c r="L1" s="23"/>
    </row>
    <row r="2" spans="1:12" ht="57.6" x14ac:dyDescent="0.3">
      <c r="A2" s="26" t="s">
        <v>8</v>
      </c>
      <c r="B2" s="26" t="s">
        <v>57</v>
      </c>
      <c r="C2" s="23"/>
      <c r="D2" s="24" t="s">
        <v>13</v>
      </c>
      <c r="E2" s="24" t="s">
        <v>58</v>
      </c>
      <c r="F2" s="23"/>
      <c r="G2" s="23"/>
      <c r="H2" s="23"/>
      <c r="I2" s="23"/>
      <c r="J2" s="23"/>
      <c r="K2" s="23"/>
      <c r="L2" s="23"/>
    </row>
    <row r="3" spans="1:12" ht="43.2" x14ac:dyDescent="0.3">
      <c r="A3" s="26" t="s">
        <v>5</v>
      </c>
      <c r="B3" s="26" t="s">
        <v>59</v>
      </c>
      <c r="C3" s="23"/>
      <c r="D3" s="24" t="s">
        <v>14</v>
      </c>
      <c r="E3" s="24" t="s">
        <v>60</v>
      </c>
      <c r="F3" s="23"/>
      <c r="G3" s="23"/>
      <c r="H3" s="23"/>
      <c r="I3" s="23"/>
      <c r="J3" s="23"/>
      <c r="K3" s="23"/>
      <c r="L3" s="23"/>
    </row>
    <row r="4" spans="1:12" ht="43.2" x14ac:dyDescent="0.3">
      <c r="A4" s="26" t="s">
        <v>6</v>
      </c>
      <c r="B4" s="26" t="s">
        <v>61</v>
      </c>
      <c r="C4" s="23"/>
      <c r="D4" s="24" t="s">
        <v>15</v>
      </c>
      <c r="E4" s="24" t="s">
        <v>62</v>
      </c>
      <c r="F4" s="23"/>
      <c r="G4" s="23"/>
      <c r="H4" s="23"/>
      <c r="I4" s="23"/>
      <c r="J4" s="23"/>
      <c r="K4" s="23"/>
      <c r="L4" s="23"/>
    </row>
    <row r="5" spans="1:12" ht="28.8" x14ac:dyDescent="0.3">
      <c r="A5" s="26" t="s">
        <v>7</v>
      </c>
      <c r="B5" s="26" t="s">
        <v>63</v>
      </c>
      <c r="C5" s="23"/>
      <c r="D5" s="24" t="s">
        <v>16</v>
      </c>
      <c r="E5" s="24" t="s">
        <v>64</v>
      </c>
      <c r="F5" s="23"/>
      <c r="G5" s="23"/>
      <c r="H5" s="23"/>
      <c r="I5" s="23"/>
      <c r="J5" s="23"/>
      <c r="K5" s="23"/>
      <c r="L5" s="23"/>
    </row>
    <row r="6" spans="1:12" ht="28.8" x14ac:dyDescent="0.3">
      <c r="A6" s="26" t="s">
        <v>9</v>
      </c>
      <c r="B6" s="26"/>
      <c r="C6" s="23"/>
      <c r="D6" s="24" t="s">
        <v>65</v>
      </c>
      <c r="E6" s="24" t="s">
        <v>66</v>
      </c>
      <c r="F6" s="23"/>
      <c r="G6" s="23"/>
      <c r="H6" s="23"/>
      <c r="I6" s="23"/>
      <c r="J6" s="23"/>
      <c r="K6" s="23"/>
      <c r="L6" s="23"/>
    </row>
    <row r="7" spans="1:12" x14ac:dyDescent="0.3">
      <c r="A7" s="23"/>
      <c r="B7" s="23"/>
      <c r="C7" s="23"/>
      <c r="D7" s="23"/>
      <c r="E7" s="23"/>
      <c r="F7" s="23"/>
      <c r="G7" s="23"/>
      <c r="H7" s="23"/>
      <c r="I7" s="23"/>
      <c r="J7" s="23"/>
      <c r="K7" s="23"/>
      <c r="L7" s="23"/>
    </row>
    <row r="8" spans="1:12" x14ac:dyDescent="0.3">
      <c r="A8" s="23"/>
      <c r="B8" s="23"/>
      <c r="C8" s="23"/>
      <c r="D8" s="23"/>
      <c r="E8" s="23"/>
      <c r="F8" s="23"/>
      <c r="G8" s="23"/>
      <c r="H8" s="23"/>
      <c r="I8" s="23"/>
      <c r="J8" s="23"/>
      <c r="K8" s="23"/>
      <c r="L8" s="23"/>
    </row>
    <row r="9" spans="1:12" x14ac:dyDescent="0.3">
      <c r="A9" s="23"/>
      <c r="B9" s="23"/>
      <c r="C9" s="23"/>
      <c r="D9" s="23"/>
      <c r="E9" s="23"/>
      <c r="F9" s="23"/>
      <c r="G9" s="23"/>
      <c r="H9" s="23"/>
      <c r="I9" s="23"/>
      <c r="J9" s="23"/>
      <c r="K9" s="23"/>
      <c r="L9" s="23"/>
    </row>
    <row r="10" spans="1:12" x14ac:dyDescent="0.3">
      <c r="A10" s="23"/>
      <c r="B10" s="23"/>
      <c r="C10" s="23"/>
      <c r="D10" s="23"/>
      <c r="E10" s="23"/>
      <c r="F10" s="23"/>
      <c r="G10" s="23"/>
      <c r="H10" s="23"/>
      <c r="I10" s="23"/>
      <c r="J10" s="23"/>
      <c r="K10" s="23"/>
      <c r="L10" s="23"/>
    </row>
    <row r="11" spans="1:12" x14ac:dyDescent="0.3">
      <c r="A11" s="23"/>
      <c r="B11" s="23"/>
      <c r="C11" s="23"/>
      <c r="D11" s="23"/>
      <c r="E11" s="23"/>
      <c r="F11" s="23"/>
      <c r="G11" s="23"/>
      <c r="H11" s="23"/>
      <c r="I11" s="23"/>
      <c r="J11" s="23"/>
      <c r="K11" s="23"/>
      <c r="L11" s="23"/>
    </row>
    <row r="12" spans="1:12" x14ac:dyDescent="0.3">
      <c r="A12" s="23"/>
      <c r="B12" s="23"/>
      <c r="C12" s="23"/>
      <c r="D12" s="23"/>
      <c r="E12" s="23"/>
      <c r="F12" s="23"/>
      <c r="G12" s="23"/>
      <c r="H12" s="23"/>
      <c r="I12" s="23"/>
      <c r="J12" s="23"/>
      <c r="K12" s="23"/>
      <c r="L12" s="23"/>
    </row>
    <row r="13" spans="1:12" x14ac:dyDescent="0.3">
      <c r="A13" s="23"/>
      <c r="B13" s="23"/>
      <c r="C13" s="23"/>
      <c r="D13" s="23"/>
      <c r="E13" s="23"/>
      <c r="F13" s="23"/>
      <c r="G13" s="23"/>
      <c r="H13" s="23"/>
      <c r="I13" s="23"/>
      <c r="J13" s="23"/>
      <c r="K13" s="23"/>
      <c r="L13" s="23"/>
    </row>
    <row r="14" spans="1:12" x14ac:dyDescent="0.3">
      <c r="A14" s="23"/>
      <c r="B14" s="23"/>
      <c r="C14" s="23"/>
      <c r="D14" s="23"/>
      <c r="E14" s="23"/>
      <c r="F14" s="23"/>
      <c r="G14" s="23"/>
      <c r="H14" s="23"/>
      <c r="I14" s="23"/>
      <c r="J14" s="23"/>
      <c r="K14" s="23"/>
      <c r="L14" s="23"/>
    </row>
    <row r="15" spans="1:12" x14ac:dyDescent="0.3">
      <c r="A15" s="23"/>
      <c r="B15" s="23"/>
      <c r="C15" s="23"/>
      <c r="D15" s="23"/>
      <c r="E15" s="23"/>
      <c r="F15" s="23"/>
      <c r="G15" s="23"/>
      <c r="H15" s="23"/>
      <c r="I15" s="23"/>
      <c r="J15" s="23"/>
      <c r="K15" s="23"/>
      <c r="L15" s="23"/>
    </row>
    <row r="16" spans="1:12" x14ac:dyDescent="0.3">
      <c r="A16" s="23"/>
      <c r="B16" s="23"/>
      <c r="C16" s="23"/>
      <c r="D16" s="23"/>
      <c r="E16" s="23"/>
      <c r="F16" s="23"/>
      <c r="G16" s="23"/>
      <c r="H16" s="23"/>
      <c r="I16" s="23"/>
      <c r="J16" s="23"/>
      <c r="K16" s="23"/>
      <c r="L16" s="23"/>
    </row>
    <row r="17" spans="1:12" x14ac:dyDescent="0.3">
      <c r="A17" s="23"/>
      <c r="B17" s="23"/>
      <c r="C17" s="23"/>
      <c r="D17" s="23"/>
      <c r="E17" s="23"/>
      <c r="F17" s="23"/>
      <c r="G17" s="23"/>
      <c r="H17" s="23"/>
      <c r="I17" s="23"/>
      <c r="J17" s="23"/>
      <c r="K17" s="23"/>
      <c r="L17" s="23"/>
    </row>
    <row r="18" spans="1:12" x14ac:dyDescent="0.3">
      <c r="A18" s="23"/>
      <c r="B18" s="23"/>
      <c r="C18" s="23"/>
      <c r="D18" s="23"/>
      <c r="E18" s="23"/>
      <c r="F18" s="23"/>
      <c r="G18" s="23"/>
      <c r="H18" s="23"/>
      <c r="I18" s="23"/>
      <c r="J18" s="23"/>
      <c r="K18" s="23"/>
      <c r="L18" s="23"/>
    </row>
    <row r="19" spans="1:12" x14ac:dyDescent="0.3">
      <c r="A19" s="23"/>
      <c r="B19" s="23"/>
      <c r="C19" s="23"/>
      <c r="D19" s="23"/>
      <c r="E19" s="23"/>
      <c r="F19" s="23"/>
      <c r="G19" s="23"/>
      <c r="H19" s="23"/>
      <c r="I19" s="23"/>
      <c r="J19" s="23"/>
      <c r="K19" s="23"/>
      <c r="L19" s="23"/>
    </row>
    <row r="20" spans="1:12" x14ac:dyDescent="0.3">
      <c r="A20" s="23"/>
      <c r="B20" s="23"/>
      <c r="C20" s="23"/>
      <c r="D20" s="23"/>
      <c r="E20" s="23"/>
      <c r="F20" s="23"/>
      <c r="G20" s="23"/>
      <c r="H20" s="23"/>
      <c r="I20" s="23"/>
      <c r="J20" s="23"/>
      <c r="K20" s="23"/>
      <c r="L20" s="23"/>
    </row>
    <row r="21" spans="1:12" x14ac:dyDescent="0.3">
      <c r="A21" s="23"/>
      <c r="B21" s="23"/>
      <c r="C21" s="23"/>
      <c r="D21" s="23"/>
      <c r="E21" s="23"/>
      <c r="F21" s="23"/>
      <c r="G21" s="23"/>
      <c r="H21" s="23"/>
      <c r="I21" s="23"/>
      <c r="J21" s="23"/>
      <c r="K21" s="23"/>
      <c r="L21" s="23"/>
    </row>
    <row r="22" spans="1:12" x14ac:dyDescent="0.3">
      <c r="A22" s="23"/>
      <c r="B22" s="23"/>
      <c r="C22" s="23"/>
      <c r="D22" s="23"/>
      <c r="E22" s="23"/>
      <c r="F22" s="23"/>
      <c r="G22" s="23"/>
      <c r="H22" s="23"/>
      <c r="I22" s="23"/>
      <c r="J22" s="23"/>
      <c r="K22" s="23"/>
      <c r="L22" s="23"/>
    </row>
    <row r="23" spans="1:12" x14ac:dyDescent="0.3">
      <c r="A23" s="23"/>
      <c r="B23" s="23"/>
      <c r="C23" s="23"/>
      <c r="D23" s="23"/>
      <c r="E23" s="23"/>
      <c r="F23" s="23"/>
      <c r="G23" s="23"/>
      <c r="H23" s="23"/>
      <c r="I23" s="23"/>
      <c r="J23" s="23"/>
      <c r="K23" s="23"/>
      <c r="L23" s="23"/>
    </row>
    <row r="24" spans="1:12" x14ac:dyDescent="0.3">
      <c r="A24" s="23"/>
      <c r="B24" s="23"/>
      <c r="C24" s="23"/>
      <c r="D24" s="23"/>
      <c r="E24" s="23"/>
      <c r="F24" s="23"/>
      <c r="G24" s="23"/>
      <c r="H24" s="23"/>
      <c r="I24" s="23"/>
      <c r="J24" s="23"/>
      <c r="K24" s="23"/>
      <c r="L24" s="23"/>
    </row>
    <row r="25" spans="1:12" x14ac:dyDescent="0.3">
      <c r="A25" s="23"/>
      <c r="B25" s="23"/>
      <c r="C25" s="23"/>
      <c r="D25" s="23"/>
      <c r="E25" s="23"/>
      <c r="F25" s="23"/>
      <c r="G25" s="23"/>
      <c r="H25" s="23"/>
      <c r="I25" s="23"/>
      <c r="J25" s="23"/>
      <c r="K25" s="23"/>
      <c r="L25" s="23"/>
    </row>
    <row r="26" spans="1:12" x14ac:dyDescent="0.3">
      <c r="A26" s="23"/>
      <c r="B26" s="23"/>
      <c r="C26" s="23"/>
      <c r="D26" s="23"/>
      <c r="E26" s="23"/>
      <c r="F26" s="23"/>
      <c r="G26" s="23"/>
      <c r="H26" s="23"/>
      <c r="I26" s="23"/>
      <c r="J26" s="23"/>
      <c r="K26" s="23"/>
      <c r="L26" s="23"/>
    </row>
    <row r="27" spans="1:12" x14ac:dyDescent="0.3">
      <c r="A27" s="23"/>
      <c r="B27" s="23"/>
      <c r="C27" s="23"/>
      <c r="D27" s="23"/>
      <c r="E27" s="23"/>
      <c r="F27" s="23"/>
      <c r="G27" s="23"/>
      <c r="H27" s="23"/>
      <c r="I27" s="23"/>
      <c r="J27" s="23"/>
      <c r="K27" s="23"/>
      <c r="L27" s="23"/>
    </row>
    <row r="28" spans="1:12" x14ac:dyDescent="0.3">
      <c r="A28" s="23"/>
      <c r="B28" s="23"/>
      <c r="C28" s="23"/>
      <c r="D28" s="23"/>
      <c r="E28" s="23"/>
      <c r="F28" s="23"/>
      <c r="G28" s="23"/>
      <c r="H28" s="23"/>
      <c r="I28" s="23"/>
      <c r="J28" s="23"/>
      <c r="K28" s="23"/>
      <c r="L28" s="23"/>
    </row>
    <row r="29" spans="1:12" x14ac:dyDescent="0.3">
      <c r="A29" s="23"/>
      <c r="B29" s="23"/>
      <c r="C29" s="23"/>
      <c r="D29" s="23"/>
      <c r="E29" s="23"/>
      <c r="F29" s="23"/>
      <c r="G29" s="23"/>
      <c r="H29" s="23"/>
      <c r="I29" s="23"/>
      <c r="J29" s="23"/>
      <c r="K29" s="23"/>
      <c r="L29" s="23"/>
    </row>
    <row r="30" spans="1:12" x14ac:dyDescent="0.3">
      <c r="A30" s="23"/>
      <c r="B30" s="23"/>
      <c r="C30" s="23"/>
      <c r="D30" s="23"/>
      <c r="E30" s="23"/>
      <c r="F30" s="23"/>
      <c r="G30" s="23"/>
      <c r="H30" s="23"/>
      <c r="I30" s="23"/>
      <c r="J30" s="23"/>
      <c r="K30" s="23"/>
      <c r="L30" s="23"/>
    </row>
    <row r="31" spans="1:12" x14ac:dyDescent="0.3">
      <c r="A31" s="23"/>
      <c r="B31" s="23"/>
      <c r="C31" s="23"/>
      <c r="D31" s="23"/>
      <c r="E31" s="23"/>
      <c r="F31" s="23"/>
      <c r="G31" s="23"/>
      <c r="H31" s="23"/>
      <c r="I31" s="23"/>
      <c r="J31" s="23"/>
      <c r="K31" s="23"/>
      <c r="L31" s="23"/>
    </row>
    <row r="32" spans="1:12" x14ac:dyDescent="0.3">
      <c r="A32" s="23"/>
      <c r="B32" s="23"/>
      <c r="C32" s="23"/>
      <c r="D32" s="23"/>
      <c r="E32" s="23"/>
      <c r="F32" s="23"/>
      <c r="G32" s="23"/>
      <c r="H32" s="23"/>
      <c r="I32" s="23"/>
      <c r="J32" s="23"/>
      <c r="K32" s="23"/>
      <c r="L32" s="23"/>
    </row>
    <row r="33" spans="1:12" x14ac:dyDescent="0.3">
      <c r="A33" s="23"/>
      <c r="B33" s="23"/>
      <c r="C33" s="23"/>
      <c r="D33" s="23"/>
      <c r="E33" s="23"/>
      <c r="F33" s="23"/>
      <c r="G33" s="23"/>
      <c r="H33" s="23"/>
      <c r="I33" s="23"/>
      <c r="J33" s="23"/>
      <c r="K33" s="23"/>
      <c r="L33" s="23"/>
    </row>
    <row r="34" spans="1:12" x14ac:dyDescent="0.3">
      <c r="A34" s="23"/>
      <c r="B34" s="23"/>
      <c r="C34" s="23"/>
      <c r="D34" s="23"/>
      <c r="E34" s="23"/>
      <c r="F34" s="23"/>
      <c r="G34" s="23"/>
      <c r="H34" s="23"/>
      <c r="I34" s="23"/>
      <c r="J34" s="23"/>
      <c r="K34" s="23"/>
      <c r="L34" s="23"/>
    </row>
    <row r="35" spans="1:12" x14ac:dyDescent="0.3">
      <c r="A35" s="23"/>
      <c r="B35" s="23"/>
      <c r="C35" s="23"/>
      <c r="D35" s="23"/>
      <c r="E35" s="23"/>
      <c r="F35" s="23"/>
      <c r="G35" s="23"/>
      <c r="H35" s="23"/>
      <c r="I35" s="23"/>
      <c r="J35" s="23"/>
      <c r="K35" s="23"/>
      <c r="L35" s="23"/>
    </row>
    <row r="36" spans="1:12" x14ac:dyDescent="0.3">
      <c r="A36" s="23"/>
      <c r="B36" s="23"/>
      <c r="C36" s="23"/>
      <c r="D36" s="23"/>
      <c r="E36" s="23"/>
      <c r="F36" s="23"/>
      <c r="G36" s="23"/>
      <c r="H36" s="23"/>
      <c r="I36" s="23"/>
      <c r="J36" s="23"/>
      <c r="K36" s="23"/>
      <c r="L36" s="23"/>
    </row>
    <row r="37" spans="1:12" x14ac:dyDescent="0.3">
      <c r="A37" s="23"/>
      <c r="B37" s="23"/>
      <c r="C37" s="23"/>
      <c r="D37" s="23"/>
      <c r="E37" s="23"/>
      <c r="F37" s="23"/>
      <c r="G37" s="23"/>
      <c r="H37" s="23"/>
      <c r="I37" s="23"/>
      <c r="J37" s="23"/>
      <c r="K37" s="23"/>
      <c r="L37" s="23"/>
    </row>
    <row r="38" spans="1:12" x14ac:dyDescent="0.3">
      <c r="A38" s="23"/>
      <c r="B38" s="23"/>
      <c r="C38" s="23"/>
      <c r="D38" s="23"/>
      <c r="E38" s="23"/>
      <c r="F38" s="23"/>
      <c r="G38" s="23"/>
      <c r="H38" s="23"/>
      <c r="I38" s="23"/>
      <c r="J38" s="23"/>
      <c r="K38" s="23"/>
      <c r="L38" s="23"/>
    </row>
    <row r="39" spans="1:12" x14ac:dyDescent="0.3">
      <c r="A39" s="23"/>
      <c r="B39" s="23"/>
      <c r="C39" s="23"/>
      <c r="D39" s="23"/>
      <c r="E39" s="23"/>
      <c r="F39" s="23"/>
      <c r="G39" s="23"/>
      <c r="H39" s="23"/>
      <c r="I39" s="23"/>
      <c r="J39" s="23"/>
      <c r="K39" s="23"/>
      <c r="L39" s="23"/>
    </row>
    <row r="40" spans="1:12" x14ac:dyDescent="0.3">
      <c r="A40" s="23"/>
      <c r="B40" s="23"/>
      <c r="C40" s="23"/>
      <c r="D40" s="23"/>
      <c r="E40" s="23"/>
      <c r="F40" s="23"/>
      <c r="G40" s="23"/>
      <c r="H40" s="23"/>
      <c r="I40" s="23"/>
      <c r="J40" s="23"/>
      <c r="K40" s="23"/>
      <c r="L40" s="23"/>
    </row>
    <row r="41" spans="1:12" x14ac:dyDescent="0.3">
      <c r="A41" s="23"/>
      <c r="B41" s="23"/>
      <c r="C41" s="23"/>
      <c r="D41" s="23"/>
      <c r="E41" s="23"/>
      <c r="F41" s="23"/>
      <c r="G41" s="23"/>
      <c r="H41" s="23"/>
      <c r="I41" s="23"/>
      <c r="J41" s="23"/>
      <c r="K41" s="23"/>
      <c r="L41" s="23"/>
    </row>
    <row r="42" spans="1:12" x14ac:dyDescent="0.3">
      <c r="A42" s="23"/>
      <c r="B42" s="23"/>
      <c r="C42" s="23"/>
      <c r="D42" s="23"/>
      <c r="E42" s="23"/>
      <c r="F42" s="23"/>
      <c r="G42" s="23"/>
      <c r="H42" s="23"/>
      <c r="I42" s="23"/>
      <c r="J42" s="23"/>
      <c r="K42" s="23"/>
      <c r="L42" s="23"/>
    </row>
    <row r="43" spans="1:12" x14ac:dyDescent="0.3">
      <c r="A43" s="23"/>
      <c r="B43" s="23"/>
      <c r="C43" s="23"/>
      <c r="D43" s="23"/>
      <c r="E43" s="23"/>
      <c r="F43" s="23"/>
      <c r="G43" s="23"/>
      <c r="H43" s="23"/>
      <c r="I43" s="23"/>
      <c r="J43" s="23"/>
      <c r="K43" s="23"/>
      <c r="L43" s="23"/>
    </row>
    <row r="44" spans="1:12" x14ac:dyDescent="0.3">
      <c r="A44" s="23"/>
      <c r="B44" s="23"/>
      <c r="C44" s="23"/>
      <c r="D44" s="23"/>
      <c r="E44" s="23"/>
      <c r="F44" s="23"/>
      <c r="G44" s="23"/>
      <c r="H44" s="23"/>
      <c r="I44" s="23"/>
      <c r="J44" s="23"/>
      <c r="K44" s="23"/>
      <c r="L44" s="23"/>
    </row>
    <row r="45" spans="1:12" x14ac:dyDescent="0.3">
      <c r="A45" s="23"/>
      <c r="B45" s="23"/>
      <c r="C45" s="23"/>
      <c r="D45" s="23"/>
      <c r="E45" s="23"/>
      <c r="F45" s="23"/>
      <c r="G45" s="23"/>
      <c r="H45" s="23"/>
      <c r="I45" s="23"/>
      <c r="J45" s="23"/>
      <c r="K45" s="23"/>
      <c r="L45" s="23"/>
    </row>
    <row r="46" spans="1:12" x14ac:dyDescent="0.3">
      <c r="A46" s="23"/>
      <c r="B46" s="23"/>
      <c r="C46" s="23"/>
      <c r="D46" s="23"/>
      <c r="E46" s="23"/>
      <c r="F46" s="23"/>
      <c r="G46" s="23"/>
      <c r="H46" s="23"/>
      <c r="I46" s="23"/>
      <c r="J46" s="23"/>
      <c r="K46" s="23"/>
      <c r="L46" s="23"/>
    </row>
    <row r="47" spans="1:12" x14ac:dyDescent="0.3">
      <c r="A47" s="23"/>
      <c r="B47" s="23"/>
      <c r="C47" s="23"/>
      <c r="D47" s="23"/>
      <c r="E47" s="23"/>
      <c r="F47" s="23"/>
      <c r="G47" s="23"/>
      <c r="H47" s="23"/>
      <c r="I47" s="23"/>
      <c r="J47" s="23"/>
      <c r="K47" s="23"/>
      <c r="L47" s="23"/>
    </row>
    <row r="48" spans="1:12" x14ac:dyDescent="0.3">
      <c r="A48" s="23"/>
      <c r="B48" s="23"/>
      <c r="C48" s="23"/>
      <c r="D48" s="23"/>
      <c r="E48" s="23"/>
      <c r="F48" s="23"/>
      <c r="G48" s="23"/>
      <c r="H48" s="23"/>
      <c r="I48" s="23"/>
      <c r="J48" s="23"/>
      <c r="K48" s="23"/>
      <c r="L48" s="23"/>
    </row>
    <row r="49" spans="1:12" x14ac:dyDescent="0.3">
      <c r="A49" s="23"/>
      <c r="B49" s="23"/>
      <c r="C49" s="23"/>
      <c r="D49" s="23"/>
      <c r="E49" s="23"/>
      <c r="F49" s="23"/>
      <c r="G49" s="23"/>
      <c r="H49" s="23"/>
      <c r="I49" s="23"/>
      <c r="J49" s="23"/>
      <c r="K49" s="23"/>
      <c r="L49" s="23"/>
    </row>
    <row r="50" spans="1:12" x14ac:dyDescent="0.3">
      <c r="A50" s="23"/>
      <c r="B50" s="23"/>
      <c r="C50" s="23"/>
      <c r="D50" s="23"/>
      <c r="E50" s="23"/>
      <c r="F50" s="23"/>
      <c r="G50" s="23"/>
      <c r="H50" s="23"/>
      <c r="I50" s="23"/>
      <c r="J50" s="23"/>
      <c r="K50" s="23"/>
      <c r="L50" s="23"/>
    </row>
  </sheetData>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0"/>
  <sheetViews>
    <sheetView workbookViewId="0">
      <selection activeCell="E7" sqref="E7"/>
    </sheetView>
  </sheetViews>
  <sheetFormatPr defaultRowHeight="14.4" x14ac:dyDescent="0.3"/>
  <cols>
    <col min="1" max="1" width="32.6640625" bestFit="1" customWidth="1"/>
    <col min="2" max="2" width="96.33203125" bestFit="1" customWidth="1"/>
    <col min="3" max="3" width="19.88671875" bestFit="1" customWidth="1"/>
    <col min="4" max="4" width="44.6640625" bestFit="1" customWidth="1"/>
  </cols>
  <sheetData>
    <row r="1" spans="1:11" x14ac:dyDescent="0.3">
      <c r="A1" s="41" t="s">
        <v>67</v>
      </c>
      <c r="B1" s="40"/>
      <c r="C1" s="40"/>
      <c r="D1" s="40"/>
      <c r="E1" s="40"/>
      <c r="F1" s="40"/>
      <c r="G1" s="40"/>
      <c r="H1" s="40"/>
      <c r="I1" s="23"/>
      <c r="J1" s="23"/>
      <c r="K1" s="23"/>
    </row>
    <row r="2" spans="1:11" x14ac:dyDescent="0.3">
      <c r="A2" s="23"/>
      <c r="B2" s="23"/>
      <c r="C2" s="23"/>
      <c r="D2" s="23"/>
      <c r="E2" s="23"/>
      <c r="F2" s="23"/>
      <c r="G2" s="23"/>
      <c r="H2" s="23"/>
      <c r="I2" s="23"/>
      <c r="J2" s="23"/>
      <c r="K2" s="23"/>
    </row>
    <row r="3" spans="1:11" ht="15" customHeight="1" x14ac:dyDescent="0.3">
      <c r="A3" s="14" t="s">
        <v>68</v>
      </c>
      <c r="B3" s="14" t="s">
        <v>69</v>
      </c>
      <c r="C3" s="14" t="s">
        <v>70</v>
      </c>
      <c r="D3" s="14" t="s">
        <v>71</v>
      </c>
      <c r="E3" s="23"/>
      <c r="F3" s="23"/>
      <c r="G3" s="23"/>
      <c r="H3" s="23"/>
      <c r="I3" s="23"/>
      <c r="J3" s="23"/>
      <c r="K3" s="23"/>
    </row>
    <row r="4" spans="1:11" ht="36" customHeight="1" x14ac:dyDescent="0.3">
      <c r="A4" s="24" t="s">
        <v>72</v>
      </c>
      <c r="B4" s="24" t="s">
        <v>73</v>
      </c>
      <c r="C4" s="27" t="s">
        <v>74</v>
      </c>
      <c r="D4" s="24" t="s">
        <v>75</v>
      </c>
      <c r="E4" s="23"/>
      <c r="F4" s="23"/>
      <c r="G4" s="23"/>
      <c r="H4" s="23"/>
      <c r="I4" s="23"/>
      <c r="J4" s="23"/>
      <c r="K4" s="23"/>
    </row>
    <row r="5" spans="1:11" ht="36" customHeight="1" x14ac:dyDescent="0.3">
      <c r="A5" s="24" t="s">
        <v>76</v>
      </c>
      <c r="B5" s="24" t="s">
        <v>77</v>
      </c>
      <c r="C5" s="27" t="s">
        <v>78</v>
      </c>
      <c r="D5" s="24" t="s">
        <v>79</v>
      </c>
      <c r="E5" s="23"/>
      <c r="F5" s="23"/>
      <c r="G5" s="23"/>
      <c r="H5" s="23"/>
      <c r="I5" s="23"/>
      <c r="J5" s="23"/>
      <c r="K5" s="23"/>
    </row>
    <row r="6" spans="1:11" ht="36" customHeight="1" x14ac:dyDescent="0.3">
      <c r="A6" s="24" t="s">
        <v>80</v>
      </c>
      <c r="B6" s="24" t="s">
        <v>81</v>
      </c>
      <c r="C6" s="27" t="s">
        <v>82</v>
      </c>
      <c r="D6" s="24" t="s">
        <v>83</v>
      </c>
      <c r="E6" s="23"/>
      <c r="F6" s="23"/>
      <c r="G6" s="23"/>
      <c r="H6" s="23"/>
      <c r="I6" s="23"/>
      <c r="J6" s="23"/>
      <c r="K6" s="23"/>
    </row>
    <row r="7" spans="1:11" ht="36" customHeight="1" x14ac:dyDescent="0.3">
      <c r="A7" s="24" t="s">
        <v>84</v>
      </c>
      <c r="B7" s="24" t="s">
        <v>85</v>
      </c>
      <c r="C7" s="27" t="s">
        <v>86</v>
      </c>
      <c r="D7" s="24" t="s">
        <v>87</v>
      </c>
      <c r="E7" s="23"/>
      <c r="F7" s="23"/>
      <c r="G7" s="23"/>
      <c r="H7" s="23"/>
      <c r="I7" s="23"/>
      <c r="J7" s="23"/>
      <c r="K7" s="23"/>
    </row>
    <row r="8" spans="1:11" ht="36" customHeight="1" x14ac:dyDescent="0.3">
      <c r="A8" s="24" t="s">
        <v>88</v>
      </c>
      <c r="B8" s="24" t="s">
        <v>89</v>
      </c>
      <c r="C8" s="27" t="s">
        <v>90</v>
      </c>
      <c r="D8" s="24" t="s">
        <v>91</v>
      </c>
      <c r="E8" s="23"/>
      <c r="F8" s="23"/>
      <c r="G8" s="23"/>
      <c r="H8" s="23"/>
      <c r="I8" s="23"/>
      <c r="J8" s="23"/>
      <c r="K8" s="23"/>
    </row>
    <row r="9" spans="1:11" ht="36" customHeight="1" x14ac:dyDescent="0.3">
      <c r="A9" s="24" t="s">
        <v>92</v>
      </c>
      <c r="B9" s="24" t="s">
        <v>93</v>
      </c>
      <c r="C9" s="27" t="s">
        <v>94</v>
      </c>
      <c r="D9" s="24" t="s">
        <v>95</v>
      </c>
      <c r="E9" s="23"/>
      <c r="F9" s="23"/>
      <c r="G9" s="23"/>
      <c r="H9" s="23"/>
      <c r="I9" s="23"/>
      <c r="J9" s="23"/>
      <c r="K9" s="23"/>
    </row>
    <row r="10" spans="1:11" ht="36" customHeight="1" x14ac:dyDescent="0.3">
      <c r="A10" s="24" t="s">
        <v>96</v>
      </c>
      <c r="B10" s="24" t="s">
        <v>97</v>
      </c>
      <c r="C10" s="27" t="s">
        <v>98</v>
      </c>
      <c r="D10" s="24" t="s">
        <v>99</v>
      </c>
      <c r="E10" s="23"/>
      <c r="F10" s="23"/>
      <c r="G10" s="23"/>
      <c r="H10" s="23"/>
      <c r="I10" s="23"/>
      <c r="J10" s="23"/>
      <c r="K10" s="23"/>
    </row>
    <row r="11" spans="1:11" ht="36" customHeight="1" x14ac:dyDescent="0.3">
      <c r="A11" s="24" t="s">
        <v>100</v>
      </c>
      <c r="B11" s="24" t="s">
        <v>101</v>
      </c>
      <c r="C11" s="27" t="s">
        <v>102</v>
      </c>
      <c r="D11" s="24" t="s">
        <v>103</v>
      </c>
      <c r="E11" s="23"/>
      <c r="F11" s="23"/>
      <c r="G11" s="23"/>
      <c r="H11" s="23"/>
      <c r="I11" s="23"/>
      <c r="J11" s="23"/>
      <c r="K11" s="23"/>
    </row>
    <row r="12" spans="1:11" ht="36" customHeight="1" x14ac:dyDescent="0.3">
      <c r="A12" s="24" t="s">
        <v>104</v>
      </c>
      <c r="B12" s="24" t="s">
        <v>105</v>
      </c>
      <c r="C12" s="27" t="s">
        <v>98</v>
      </c>
      <c r="D12" s="24" t="s">
        <v>106</v>
      </c>
      <c r="E12" s="23"/>
      <c r="F12" s="23"/>
      <c r="G12" s="23"/>
      <c r="H12" s="23"/>
      <c r="I12" s="23"/>
      <c r="J12" s="23"/>
      <c r="K12" s="23"/>
    </row>
    <row r="13" spans="1:11" ht="36" customHeight="1" x14ac:dyDescent="0.3">
      <c r="A13" s="24" t="s">
        <v>107</v>
      </c>
      <c r="B13" s="24" t="s">
        <v>108</v>
      </c>
      <c r="C13" s="27" t="s">
        <v>17</v>
      </c>
      <c r="D13" s="24" t="s">
        <v>109</v>
      </c>
      <c r="E13" s="23"/>
      <c r="F13" s="23"/>
      <c r="G13" s="23"/>
      <c r="H13" s="23"/>
      <c r="I13" s="23"/>
      <c r="J13" s="23"/>
      <c r="K13" s="23"/>
    </row>
    <row r="14" spans="1:11" ht="28.5" customHeight="1" x14ac:dyDescent="0.3">
      <c r="A14" s="24" t="s">
        <v>110</v>
      </c>
      <c r="B14" s="24" t="s">
        <v>111</v>
      </c>
      <c r="C14" s="24" t="s">
        <v>112</v>
      </c>
      <c r="D14" s="24" t="s">
        <v>113</v>
      </c>
      <c r="E14" s="23"/>
      <c r="F14" s="23"/>
      <c r="G14" s="23"/>
      <c r="H14" s="23"/>
      <c r="I14" s="23"/>
      <c r="J14" s="23"/>
      <c r="K14" s="23"/>
    </row>
    <row r="15" spans="1:11" ht="28.5" customHeight="1" x14ac:dyDescent="0.3">
      <c r="A15" s="24" t="s">
        <v>114</v>
      </c>
      <c r="B15" s="24" t="s">
        <v>115</v>
      </c>
      <c r="C15" s="24" t="s">
        <v>90</v>
      </c>
      <c r="D15" s="24" t="s">
        <v>116</v>
      </c>
      <c r="E15" s="23"/>
      <c r="F15" s="23"/>
      <c r="G15" s="23"/>
      <c r="H15" s="23"/>
      <c r="I15" s="23"/>
      <c r="J15" s="23"/>
      <c r="K15" s="23"/>
    </row>
    <row r="16" spans="1:11" ht="28.5" customHeight="1" x14ac:dyDescent="0.3">
      <c r="A16" s="24" t="s">
        <v>117</v>
      </c>
      <c r="B16" s="24" t="s">
        <v>118</v>
      </c>
      <c r="C16" s="24" t="s">
        <v>65</v>
      </c>
      <c r="D16" s="24" t="s">
        <v>119</v>
      </c>
      <c r="E16" s="23"/>
      <c r="F16" s="23"/>
      <c r="G16" s="23"/>
      <c r="H16" s="23"/>
      <c r="I16" s="23"/>
      <c r="J16" s="23"/>
      <c r="K16" s="23"/>
    </row>
    <row r="17" spans="1:11" x14ac:dyDescent="0.3">
      <c r="A17" s="24"/>
      <c r="B17" s="24"/>
      <c r="C17" s="24"/>
      <c r="D17" s="24"/>
      <c r="E17" s="23"/>
      <c r="F17" s="23"/>
      <c r="G17" s="23"/>
      <c r="H17" s="23"/>
      <c r="I17" s="23"/>
      <c r="J17" s="23"/>
      <c r="K17" s="23"/>
    </row>
    <row r="18" spans="1:11" x14ac:dyDescent="0.3">
      <c r="A18" s="24"/>
      <c r="B18" s="24"/>
      <c r="C18" s="24"/>
      <c r="D18" s="24"/>
      <c r="E18" s="23"/>
      <c r="F18" s="23"/>
      <c r="G18" s="23"/>
      <c r="H18" s="23"/>
      <c r="I18" s="23"/>
      <c r="J18" s="23"/>
      <c r="K18" s="23"/>
    </row>
    <row r="19" spans="1:11" x14ac:dyDescent="0.3">
      <c r="A19" s="24"/>
      <c r="B19" s="24"/>
      <c r="C19" s="24"/>
      <c r="D19" s="24"/>
      <c r="E19" s="23"/>
      <c r="F19" s="23"/>
      <c r="G19" s="23"/>
      <c r="H19" s="23"/>
      <c r="I19" s="23"/>
      <c r="J19" s="23"/>
      <c r="K19" s="23"/>
    </row>
    <row r="20" spans="1:11" x14ac:dyDescent="0.3">
      <c r="A20" s="23"/>
      <c r="B20" s="23"/>
      <c r="C20" s="23"/>
      <c r="D20" s="23"/>
      <c r="E20" s="23"/>
      <c r="F20" s="23"/>
      <c r="G20" s="23"/>
      <c r="H20" s="23"/>
      <c r="I20" s="23"/>
      <c r="J20" s="23"/>
      <c r="K20" s="23"/>
    </row>
    <row r="21" spans="1:11" x14ac:dyDescent="0.3">
      <c r="A21" s="23"/>
      <c r="B21" s="23"/>
      <c r="C21" s="23"/>
      <c r="D21" s="23"/>
      <c r="E21" s="23"/>
      <c r="F21" s="23"/>
      <c r="G21" s="23"/>
      <c r="H21" s="23"/>
      <c r="I21" s="23"/>
      <c r="J21" s="23"/>
      <c r="K21" s="23"/>
    </row>
    <row r="22" spans="1:11" x14ac:dyDescent="0.3">
      <c r="A22" s="23"/>
      <c r="B22" s="23"/>
      <c r="C22" s="23"/>
      <c r="D22" s="23"/>
      <c r="E22" s="23"/>
      <c r="F22" s="23"/>
      <c r="G22" s="23"/>
      <c r="H22" s="23"/>
      <c r="I22" s="23"/>
      <c r="J22" s="23"/>
      <c r="K22" s="23"/>
    </row>
    <row r="23" spans="1:11" x14ac:dyDescent="0.3">
      <c r="A23" s="23"/>
      <c r="B23" s="23"/>
      <c r="C23" s="23"/>
      <c r="D23" s="23"/>
      <c r="E23" s="23"/>
      <c r="F23" s="23"/>
      <c r="G23" s="23"/>
      <c r="H23" s="23"/>
      <c r="I23" s="23"/>
      <c r="J23" s="23"/>
      <c r="K23" s="23"/>
    </row>
    <row r="24" spans="1:11" x14ac:dyDescent="0.3">
      <c r="A24" s="23"/>
      <c r="B24" s="23"/>
      <c r="C24" s="23"/>
      <c r="D24" s="23"/>
      <c r="E24" s="23"/>
      <c r="F24" s="23"/>
      <c r="G24" s="23"/>
      <c r="H24" s="23"/>
      <c r="I24" s="23"/>
      <c r="J24" s="23"/>
      <c r="K24" s="23"/>
    </row>
    <row r="25" spans="1:11" x14ac:dyDescent="0.3">
      <c r="A25" s="23"/>
      <c r="B25" s="23"/>
      <c r="C25" s="23"/>
      <c r="D25" s="23"/>
      <c r="E25" s="23"/>
      <c r="F25" s="23"/>
      <c r="G25" s="23"/>
      <c r="H25" s="23"/>
      <c r="I25" s="23"/>
      <c r="J25" s="23"/>
      <c r="K25" s="23"/>
    </row>
    <row r="26" spans="1:11" x14ac:dyDescent="0.3">
      <c r="A26" s="23"/>
      <c r="B26" s="23"/>
      <c r="C26" s="23"/>
      <c r="D26" s="23"/>
      <c r="E26" s="23"/>
      <c r="F26" s="23"/>
      <c r="G26" s="23"/>
      <c r="H26" s="23"/>
      <c r="I26" s="23"/>
      <c r="J26" s="23"/>
      <c r="K26" s="23"/>
    </row>
    <row r="27" spans="1:11" x14ac:dyDescent="0.3">
      <c r="A27" s="23"/>
      <c r="B27" s="23"/>
      <c r="C27" s="23"/>
      <c r="D27" s="23"/>
      <c r="E27" s="23"/>
      <c r="F27" s="23"/>
      <c r="G27" s="23"/>
      <c r="H27" s="23"/>
      <c r="I27" s="23"/>
      <c r="J27" s="23"/>
      <c r="K27" s="23"/>
    </row>
    <row r="28" spans="1:11" x14ac:dyDescent="0.3">
      <c r="A28" s="23"/>
      <c r="B28" s="23"/>
      <c r="C28" s="23"/>
      <c r="D28" s="23"/>
      <c r="E28" s="23"/>
      <c r="F28" s="23"/>
      <c r="G28" s="23"/>
      <c r="H28" s="23"/>
      <c r="I28" s="23"/>
      <c r="J28" s="23"/>
      <c r="K28" s="23"/>
    </row>
    <row r="29" spans="1:11" x14ac:dyDescent="0.3">
      <c r="A29" s="23"/>
      <c r="B29" s="23"/>
      <c r="C29" s="23"/>
      <c r="D29" s="23"/>
      <c r="E29" s="23"/>
      <c r="F29" s="23"/>
      <c r="G29" s="23"/>
      <c r="H29" s="23"/>
      <c r="I29" s="23"/>
      <c r="J29" s="23"/>
      <c r="K29" s="23"/>
    </row>
    <row r="30" spans="1:11" x14ac:dyDescent="0.3">
      <c r="A30" s="23"/>
      <c r="B30" s="23"/>
      <c r="C30" s="23"/>
      <c r="D30" s="23"/>
      <c r="E30" s="23"/>
      <c r="F30" s="23"/>
      <c r="G30" s="23"/>
      <c r="H30" s="23"/>
      <c r="I30" s="23"/>
      <c r="J30" s="23"/>
      <c r="K30" s="23"/>
    </row>
    <row r="31" spans="1:11" x14ac:dyDescent="0.3">
      <c r="A31" s="23"/>
      <c r="B31" s="23"/>
      <c r="C31" s="23"/>
      <c r="D31" s="23"/>
      <c r="E31" s="23"/>
      <c r="F31" s="23"/>
      <c r="G31" s="23"/>
      <c r="H31" s="23"/>
      <c r="I31" s="23"/>
      <c r="J31" s="23"/>
      <c r="K31" s="23"/>
    </row>
    <row r="32" spans="1:11" x14ac:dyDescent="0.3">
      <c r="A32" s="23"/>
      <c r="B32" s="23"/>
      <c r="C32" s="23"/>
      <c r="D32" s="23"/>
      <c r="E32" s="23"/>
      <c r="F32" s="23"/>
      <c r="G32" s="23"/>
      <c r="H32" s="23"/>
      <c r="I32" s="23"/>
      <c r="J32" s="23"/>
      <c r="K32" s="23"/>
    </row>
    <row r="33" spans="1:11" x14ac:dyDescent="0.3">
      <c r="A33" s="23"/>
      <c r="B33" s="23"/>
      <c r="C33" s="23"/>
      <c r="D33" s="23"/>
      <c r="E33" s="23"/>
      <c r="F33" s="23"/>
      <c r="G33" s="23"/>
      <c r="H33" s="23"/>
      <c r="I33" s="23"/>
      <c r="J33" s="23"/>
      <c r="K33" s="23"/>
    </row>
    <row r="34" spans="1:11" x14ac:dyDescent="0.3">
      <c r="A34" s="23"/>
      <c r="B34" s="23"/>
      <c r="C34" s="23"/>
      <c r="D34" s="23"/>
      <c r="E34" s="23"/>
      <c r="F34" s="23"/>
      <c r="G34" s="23"/>
      <c r="H34" s="23"/>
      <c r="I34" s="23"/>
      <c r="J34" s="23"/>
      <c r="K34" s="23"/>
    </row>
    <row r="35" spans="1:11" x14ac:dyDescent="0.3">
      <c r="A35" s="23"/>
      <c r="B35" s="23"/>
      <c r="C35" s="23"/>
      <c r="D35" s="23"/>
      <c r="E35" s="23"/>
      <c r="F35" s="23"/>
      <c r="G35" s="23"/>
      <c r="H35" s="23"/>
      <c r="I35" s="23"/>
      <c r="J35" s="23"/>
      <c r="K35" s="23"/>
    </row>
    <row r="36" spans="1:11" x14ac:dyDescent="0.3">
      <c r="A36" s="23"/>
      <c r="B36" s="23"/>
      <c r="C36" s="23"/>
      <c r="D36" s="23"/>
      <c r="E36" s="23"/>
      <c r="F36" s="23"/>
      <c r="G36" s="23"/>
      <c r="H36" s="23"/>
      <c r="I36" s="23"/>
      <c r="J36" s="23"/>
      <c r="K36" s="23"/>
    </row>
    <row r="37" spans="1:11" x14ac:dyDescent="0.3">
      <c r="A37" s="23"/>
      <c r="B37" s="23"/>
      <c r="C37" s="23"/>
      <c r="D37" s="23"/>
      <c r="E37" s="23"/>
      <c r="F37" s="23"/>
      <c r="G37" s="23"/>
      <c r="H37" s="23"/>
      <c r="I37" s="23"/>
      <c r="J37" s="23"/>
      <c r="K37" s="23"/>
    </row>
    <row r="38" spans="1:11" x14ac:dyDescent="0.3">
      <c r="A38" s="23"/>
      <c r="B38" s="23"/>
      <c r="C38" s="23"/>
      <c r="D38" s="23"/>
      <c r="E38" s="23"/>
      <c r="F38" s="23"/>
      <c r="G38" s="23"/>
      <c r="H38" s="23"/>
      <c r="I38" s="23"/>
      <c r="J38" s="23"/>
      <c r="K38" s="23"/>
    </row>
    <row r="39" spans="1:11" x14ac:dyDescent="0.3">
      <c r="A39" s="23"/>
      <c r="B39" s="23"/>
      <c r="C39" s="23"/>
      <c r="D39" s="23"/>
      <c r="E39" s="23"/>
      <c r="F39" s="23"/>
      <c r="G39" s="23"/>
      <c r="H39" s="23"/>
      <c r="I39" s="23"/>
      <c r="J39" s="23"/>
      <c r="K39" s="23"/>
    </row>
    <row r="40" spans="1:11" x14ac:dyDescent="0.3">
      <c r="A40" s="23"/>
      <c r="B40" s="23"/>
      <c r="C40" s="23"/>
      <c r="D40" s="23"/>
      <c r="E40" s="23"/>
      <c r="F40" s="23"/>
      <c r="G40" s="23"/>
      <c r="H40" s="23"/>
      <c r="I40" s="23"/>
      <c r="J40" s="23"/>
      <c r="K40" s="23"/>
    </row>
    <row r="41" spans="1:11" x14ac:dyDescent="0.3">
      <c r="A41" s="23"/>
      <c r="B41" s="23"/>
      <c r="C41" s="23"/>
      <c r="D41" s="23"/>
      <c r="E41" s="23"/>
      <c r="F41" s="23"/>
      <c r="G41" s="23"/>
      <c r="H41" s="23"/>
      <c r="I41" s="23"/>
      <c r="J41" s="23"/>
      <c r="K41" s="23"/>
    </row>
    <row r="42" spans="1:11" x14ac:dyDescent="0.3">
      <c r="A42" s="23"/>
      <c r="B42" s="23"/>
      <c r="C42" s="23"/>
      <c r="D42" s="23"/>
      <c r="E42" s="23"/>
      <c r="F42" s="23"/>
      <c r="G42" s="23"/>
      <c r="H42" s="23"/>
      <c r="I42" s="23"/>
      <c r="J42" s="23"/>
      <c r="K42" s="23"/>
    </row>
    <row r="43" spans="1:11" x14ac:dyDescent="0.3">
      <c r="A43" s="23"/>
      <c r="B43" s="23"/>
      <c r="C43" s="23"/>
      <c r="D43" s="23"/>
      <c r="E43" s="23"/>
      <c r="F43" s="23"/>
      <c r="G43" s="23"/>
      <c r="H43" s="23"/>
      <c r="I43" s="23"/>
      <c r="J43" s="23"/>
      <c r="K43" s="23"/>
    </row>
    <row r="44" spans="1:11" x14ac:dyDescent="0.3">
      <c r="A44" s="23"/>
      <c r="B44" s="23"/>
      <c r="C44" s="23"/>
      <c r="D44" s="23"/>
      <c r="E44" s="23"/>
      <c r="F44" s="23"/>
      <c r="G44" s="23"/>
      <c r="H44" s="23"/>
      <c r="I44" s="23"/>
      <c r="J44" s="23"/>
      <c r="K44" s="23"/>
    </row>
    <row r="45" spans="1:11" x14ac:dyDescent="0.3">
      <c r="A45" s="23"/>
      <c r="B45" s="23"/>
      <c r="C45" s="23"/>
      <c r="D45" s="23"/>
      <c r="E45" s="23"/>
      <c r="F45" s="23"/>
      <c r="G45" s="23"/>
      <c r="H45" s="23"/>
      <c r="I45" s="23"/>
      <c r="J45" s="23"/>
      <c r="K45" s="23"/>
    </row>
    <row r="46" spans="1:11" x14ac:dyDescent="0.3">
      <c r="A46" s="23"/>
      <c r="B46" s="23"/>
      <c r="C46" s="23"/>
      <c r="D46" s="23"/>
      <c r="E46" s="23"/>
      <c r="F46" s="23"/>
      <c r="G46" s="23"/>
      <c r="H46" s="23"/>
      <c r="I46" s="23"/>
      <c r="J46" s="23"/>
      <c r="K46" s="23"/>
    </row>
    <row r="47" spans="1:11" x14ac:dyDescent="0.3">
      <c r="A47" s="23"/>
      <c r="B47" s="23"/>
      <c r="C47" s="23"/>
      <c r="D47" s="23"/>
      <c r="E47" s="23"/>
      <c r="F47" s="23"/>
      <c r="G47" s="23"/>
      <c r="H47" s="23"/>
      <c r="I47" s="23"/>
      <c r="J47" s="23"/>
      <c r="K47" s="23"/>
    </row>
    <row r="48" spans="1:11" x14ac:dyDescent="0.3">
      <c r="A48" s="23"/>
      <c r="B48" s="23"/>
      <c r="C48" s="23"/>
      <c r="D48" s="23"/>
      <c r="E48" s="23"/>
      <c r="F48" s="23"/>
      <c r="G48" s="23"/>
      <c r="H48" s="23"/>
      <c r="I48" s="23"/>
      <c r="J48" s="23"/>
      <c r="K48" s="23"/>
    </row>
    <row r="49" spans="1:11" x14ac:dyDescent="0.3">
      <c r="A49" s="23"/>
      <c r="B49" s="23"/>
      <c r="C49" s="23"/>
      <c r="D49" s="23"/>
      <c r="E49" s="23"/>
      <c r="F49" s="23"/>
      <c r="G49" s="23"/>
      <c r="H49" s="23"/>
      <c r="I49" s="23"/>
      <c r="J49" s="23"/>
      <c r="K49" s="23"/>
    </row>
    <row r="50" spans="1:11" x14ac:dyDescent="0.3">
      <c r="A50" s="23"/>
      <c r="B50" s="23"/>
      <c r="C50" s="23"/>
      <c r="D50" s="23"/>
      <c r="E50" s="23"/>
      <c r="F50" s="23"/>
      <c r="G50" s="23"/>
      <c r="H50" s="23"/>
      <c r="I50" s="23"/>
      <c r="J50" s="23"/>
      <c r="K50" s="23"/>
    </row>
  </sheetData>
  <mergeCells count="1">
    <mergeCell ref="A1:H1"/>
  </mergeCell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8"/>
  <sheetViews>
    <sheetView workbookViewId="0">
      <pane ySplit="2" topLeftCell="A3" activePane="bottomLeft" state="frozen"/>
      <selection pane="bottomLeft" sqref="A1:P1"/>
    </sheetView>
  </sheetViews>
  <sheetFormatPr defaultRowHeight="14.4" x14ac:dyDescent="0.3"/>
  <cols>
    <col min="1" max="1" width="13" customWidth="1"/>
    <col min="2" max="2" width="11" customWidth="1"/>
    <col min="3" max="3" width="20" customWidth="1"/>
    <col min="4" max="4" width="36" customWidth="1"/>
    <col min="5" max="5" width="30" customWidth="1"/>
    <col min="6" max="6" width="24" customWidth="1"/>
    <col min="7" max="7" width="42" customWidth="1"/>
    <col min="8" max="8" width="30" customWidth="1"/>
    <col min="9" max="9" width="28" customWidth="1"/>
    <col min="10" max="11" width="12" customWidth="1"/>
    <col min="12" max="12" width="16" customWidth="1"/>
    <col min="13" max="13" width="14" customWidth="1"/>
    <col min="14" max="14" width="22" customWidth="1"/>
    <col min="15" max="15" width="14" customWidth="1"/>
    <col min="16" max="16" width="26" customWidth="1"/>
  </cols>
  <sheetData>
    <row r="1" spans="1:16" ht="27.75" customHeight="1" x14ac:dyDescent="0.3">
      <c r="A1" s="42" t="s">
        <v>120</v>
      </c>
      <c r="B1" s="43"/>
      <c r="C1" s="43"/>
      <c r="D1" s="43"/>
      <c r="E1" s="43"/>
      <c r="F1" s="43"/>
      <c r="G1" s="43"/>
      <c r="H1" s="43"/>
      <c r="I1" s="43"/>
      <c r="J1" s="43"/>
      <c r="K1" s="43"/>
      <c r="L1" s="43"/>
      <c r="M1" s="43"/>
      <c r="N1" s="43"/>
      <c r="O1" s="43"/>
      <c r="P1" s="44"/>
    </row>
    <row r="2" spans="1:16" ht="15" customHeight="1" x14ac:dyDescent="0.3">
      <c r="A2" s="28" t="s">
        <v>25</v>
      </c>
      <c r="B2" s="28" t="s">
        <v>11</v>
      </c>
      <c r="C2" s="28" t="s">
        <v>32</v>
      </c>
      <c r="D2" s="28" t="s">
        <v>36</v>
      </c>
      <c r="E2" s="28" t="s">
        <v>40</v>
      </c>
      <c r="F2" s="28" t="s">
        <v>44</v>
      </c>
      <c r="G2" s="28" t="s">
        <v>46</v>
      </c>
      <c r="H2" s="28" t="s">
        <v>48</v>
      </c>
      <c r="I2" s="14" t="s">
        <v>50</v>
      </c>
      <c r="J2" s="14" t="s">
        <v>2</v>
      </c>
      <c r="K2" s="14" t="s">
        <v>53</v>
      </c>
      <c r="L2" s="14" t="s">
        <v>121</v>
      </c>
      <c r="M2" s="14" t="s">
        <v>122</v>
      </c>
      <c r="N2" s="14" t="s">
        <v>55</v>
      </c>
      <c r="O2" s="14" t="s">
        <v>123</v>
      </c>
      <c r="P2" s="14" t="s">
        <v>71</v>
      </c>
    </row>
    <row r="3" spans="1:16" ht="42.75" customHeight="1" x14ac:dyDescent="0.3">
      <c r="A3" s="29" t="s">
        <v>124</v>
      </c>
      <c r="B3" s="29" t="s">
        <v>13</v>
      </c>
      <c r="C3" s="30" t="s">
        <v>125</v>
      </c>
      <c r="D3" s="30" t="s">
        <v>126</v>
      </c>
      <c r="E3" s="30" t="s">
        <v>127</v>
      </c>
      <c r="F3" s="30" t="s">
        <v>128</v>
      </c>
      <c r="G3" s="30" t="s">
        <v>129</v>
      </c>
      <c r="H3" s="30" t="s">
        <v>130</v>
      </c>
      <c r="I3" s="30"/>
      <c r="J3" s="29" t="s">
        <v>8</v>
      </c>
      <c r="K3" s="29" t="s">
        <v>59</v>
      </c>
      <c r="L3" s="27"/>
      <c r="M3" s="31"/>
      <c r="N3" s="30"/>
      <c r="O3" s="30"/>
      <c r="P3" s="30"/>
    </row>
    <row r="4" spans="1:16" ht="28.5" customHeight="1" x14ac:dyDescent="0.3">
      <c r="A4" s="29" t="s">
        <v>131</v>
      </c>
      <c r="B4" s="29" t="s">
        <v>13</v>
      </c>
      <c r="C4" s="30" t="s">
        <v>132</v>
      </c>
      <c r="D4" s="30" t="s">
        <v>133</v>
      </c>
      <c r="E4" s="30" t="s">
        <v>134</v>
      </c>
      <c r="F4" s="30" t="s">
        <v>135</v>
      </c>
      <c r="G4" s="30" t="s">
        <v>136</v>
      </c>
      <c r="H4" s="30" t="s">
        <v>137</v>
      </c>
      <c r="I4" s="30"/>
      <c r="J4" s="29" t="s">
        <v>8</v>
      </c>
      <c r="K4" s="29" t="s">
        <v>59</v>
      </c>
      <c r="L4" s="27"/>
      <c r="M4" s="31"/>
      <c r="N4" s="30"/>
      <c r="O4" s="30"/>
      <c r="P4" s="30"/>
    </row>
    <row r="5" spans="1:16" ht="28.5" customHeight="1" x14ac:dyDescent="0.3">
      <c r="A5" s="29" t="s">
        <v>138</v>
      </c>
      <c r="B5" s="29" t="s">
        <v>13</v>
      </c>
      <c r="C5" s="30" t="s">
        <v>139</v>
      </c>
      <c r="D5" s="30" t="s">
        <v>140</v>
      </c>
      <c r="E5" s="30" t="s">
        <v>141</v>
      </c>
      <c r="F5" s="30" t="s">
        <v>142</v>
      </c>
      <c r="G5" s="30" t="s">
        <v>143</v>
      </c>
      <c r="H5" s="30" t="s">
        <v>144</v>
      </c>
      <c r="I5" s="30"/>
      <c r="J5" s="29" t="s">
        <v>8</v>
      </c>
      <c r="K5" s="29" t="s">
        <v>59</v>
      </c>
      <c r="L5" s="27"/>
      <c r="M5" s="31"/>
      <c r="N5" s="30"/>
      <c r="O5" s="30"/>
      <c r="P5" s="30"/>
    </row>
    <row r="6" spans="1:16" ht="28.5" customHeight="1" x14ac:dyDescent="0.3">
      <c r="A6" s="29" t="s">
        <v>145</v>
      </c>
      <c r="B6" s="29" t="s">
        <v>13</v>
      </c>
      <c r="C6" s="30" t="s">
        <v>139</v>
      </c>
      <c r="D6" s="30" t="s">
        <v>146</v>
      </c>
      <c r="E6" s="30" t="s">
        <v>147</v>
      </c>
      <c r="F6" s="30" t="s">
        <v>148</v>
      </c>
      <c r="G6" s="30" t="s">
        <v>149</v>
      </c>
      <c r="H6" s="30" t="s">
        <v>150</v>
      </c>
      <c r="I6" s="30"/>
      <c r="J6" s="29" t="s">
        <v>8</v>
      </c>
      <c r="K6" s="29" t="s">
        <v>59</v>
      </c>
      <c r="L6" s="27"/>
      <c r="M6" s="31"/>
      <c r="N6" s="30"/>
      <c r="O6" s="30"/>
      <c r="P6" s="30"/>
    </row>
    <row r="7" spans="1:16" ht="28.5" customHeight="1" x14ac:dyDescent="0.3">
      <c r="A7" s="29" t="s">
        <v>151</v>
      </c>
      <c r="B7" s="29" t="s">
        <v>13</v>
      </c>
      <c r="C7" s="30" t="s">
        <v>139</v>
      </c>
      <c r="D7" s="30" t="s">
        <v>152</v>
      </c>
      <c r="E7" s="30" t="s">
        <v>153</v>
      </c>
      <c r="F7" s="30" t="s">
        <v>154</v>
      </c>
      <c r="G7" s="30" t="s">
        <v>155</v>
      </c>
      <c r="H7" s="30" t="s">
        <v>156</v>
      </c>
      <c r="I7" s="30"/>
      <c r="J7" s="29" t="s">
        <v>8</v>
      </c>
      <c r="K7" s="29" t="s">
        <v>59</v>
      </c>
      <c r="L7" s="27"/>
      <c r="M7" s="31"/>
      <c r="N7" s="30"/>
      <c r="O7" s="30"/>
      <c r="P7" s="30"/>
    </row>
    <row r="8" spans="1:16" ht="28.5" customHeight="1" x14ac:dyDescent="0.3">
      <c r="A8" s="29" t="s">
        <v>157</v>
      </c>
      <c r="B8" s="29" t="s">
        <v>13</v>
      </c>
      <c r="C8" s="30" t="s">
        <v>158</v>
      </c>
      <c r="D8" s="30" t="s">
        <v>159</v>
      </c>
      <c r="E8" s="30" t="s">
        <v>160</v>
      </c>
      <c r="F8" s="30" t="s">
        <v>161</v>
      </c>
      <c r="G8" s="30" t="s">
        <v>162</v>
      </c>
      <c r="H8" s="30" t="s">
        <v>163</v>
      </c>
      <c r="I8" s="30"/>
      <c r="J8" s="29" t="s">
        <v>8</v>
      </c>
      <c r="K8" s="29" t="s">
        <v>59</v>
      </c>
      <c r="L8" s="27"/>
      <c r="M8" s="31"/>
      <c r="N8" s="30"/>
      <c r="O8" s="30"/>
      <c r="P8" s="30"/>
    </row>
    <row r="9" spans="1:16" ht="28.5" customHeight="1" x14ac:dyDescent="0.3">
      <c r="A9" s="29" t="s">
        <v>164</v>
      </c>
      <c r="B9" s="29" t="s">
        <v>13</v>
      </c>
      <c r="C9" s="30" t="s">
        <v>165</v>
      </c>
      <c r="D9" s="30" t="s">
        <v>166</v>
      </c>
      <c r="E9" s="30" t="s">
        <v>167</v>
      </c>
      <c r="F9" s="30" t="s">
        <v>168</v>
      </c>
      <c r="G9" s="30" t="s">
        <v>169</v>
      </c>
      <c r="H9" s="30" t="s">
        <v>170</v>
      </c>
      <c r="I9" s="30"/>
      <c r="J9" s="29" t="s">
        <v>8</v>
      </c>
      <c r="K9" s="29" t="s">
        <v>61</v>
      </c>
      <c r="L9" s="27"/>
      <c r="M9" s="31"/>
      <c r="N9" s="30"/>
      <c r="O9" s="30"/>
      <c r="P9" s="30"/>
    </row>
    <row r="10" spans="1:16" ht="28.5" customHeight="1" x14ac:dyDescent="0.3">
      <c r="A10" s="29" t="s">
        <v>171</v>
      </c>
      <c r="B10" s="29" t="s">
        <v>13</v>
      </c>
      <c r="C10" s="30" t="s">
        <v>172</v>
      </c>
      <c r="D10" s="30" t="s">
        <v>173</v>
      </c>
      <c r="E10" s="30" t="s">
        <v>174</v>
      </c>
      <c r="F10" s="30" t="s">
        <v>175</v>
      </c>
      <c r="G10" s="30" t="s">
        <v>176</v>
      </c>
      <c r="H10" s="30" t="s">
        <v>177</v>
      </c>
      <c r="I10" s="30"/>
      <c r="J10" s="29" t="s">
        <v>8</v>
      </c>
      <c r="K10" s="29" t="s">
        <v>61</v>
      </c>
      <c r="L10" s="27"/>
      <c r="M10" s="31"/>
      <c r="N10" s="30"/>
      <c r="O10" s="30"/>
      <c r="P10" s="30"/>
    </row>
    <row r="11" spans="1:16" ht="28.5" customHeight="1" x14ac:dyDescent="0.3">
      <c r="A11" s="29" t="s">
        <v>178</v>
      </c>
      <c r="B11" s="29" t="s">
        <v>13</v>
      </c>
      <c r="C11" s="30" t="s">
        <v>179</v>
      </c>
      <c r="D11" s="30" t="s">
        <v>180</v>
      </c>
      <c r="E11" s="30" t="s">
        <v>174</v>
      </c>
      <c r="F11" s="30" t="s">
        <v>181</v>
      </c>
      <c r="G11" s="30" t="s">
        <v>182</v>
      </c>
      <c r="H11" s="30" t="s">
        <v>183</v>
      </c>
      <c r="I11" s="30"/>
      <c r="J11" s="29" t="s">
        <v>8</v>
      </c>
      <c r="K11" s="29" t="s">
        <v>59</v>
      </c>
      <c r="L11" s="27"/>
      <c r="M11" s="31"/>
      <c r="N11" s="30"/>
      <c r="O11" s="30"/>
      <c r="P11" s="30"/>
    </row>
    <row r="12" spans="1:16" ht="28.5" customHeight="1" x14ac:dyDescent="0.3">
      <c r="A12" s="29" t="s">
        <v>184</v>
      </c>
      <c r="B12" s="29" t="s">
        <v>13</v>
      </c>
      <c r="C12" s="30" t="s">
        <v>185</v>
      </c>
      <c r="D12" s="30" t="s">
        <v>186</v>
      </c>
      <c r="E12" s="30" t="s">
        <v>174</v>
      </c>
      <c r="F12" s="30" t="s">
        <v>187</v>
      </c>
      <c r="G12" s="30" t="s">
        <v>188</v>
      </c>
      <c r="H12" s="30" t="s">
        <v>189</v>
      </c>
      <c r="I12" s="30"/>
      <c r="J12" s="29" t="s">
        <v>8</v>
      </c>
      <c r="K12" s="29" t="s">
        <v>59</v>
      </c>
      <c r="L12" s="27"/>
      <c r="M12" s="31"/>
      <c r="N12" s="30"/>
      <c r="O12" s="30"/>
      <c r="P12" s="30"/>
    </row>
    <row r="13" spans="1:16" ht="28.5" customHeight="1" x14ac:dyDescent="0.3">
      <c r="A13" s="29" t="s">
        <v>190</v>
      </c>
      <c r="B13" s="29" t="s">
        <v>13</v>
      </c>
      <c r="C13" s="30" t="s">
        <v>191</v>
      </c>
      <c r="D13" s="30" t="s">
        <v>192</v>
      </c>
      <c r="E13" s="30" t="s">
        <v>174</v>
      </c>
      <c r="F13" s="30" t="s">
        <v>193</v>
      </c>
      <c r="G13" s="30" t="s">
        <v>194</v>
      </c>
      <c r="H13" s="30" t="s">
        <v>195</v>
      </c>
      <c r="I13" s="30"/>
      <c r="J13" s="29" t="s">
        <v>8</v>
      </c>
      <c r="K13" s="29" t="s">
        <v>59</v>
      </c>
      <c r="L13" s="27"/>
      <c r="M13" s="31"/>
      <c r="N13" s="30"/>
      <c r="O13" s="30"/>
      <c r="P13" s="30"/>
    </row>
    <row r="14" spans="1:16" ht="28.5" customHeight="1" x14ac:dyDescent="0.3">
      <c r="A14" s="29" t="s">
        <v>196</v>
      </c>
      <c r="B14" s="29" t="s">
        <v>13</v>
      </c>
      <c r="C14" s="30" t="s">
        <v>197</v>
      </c>
      <c r="D14" s="30" t="s">
        <v>198</v>
      </c>
      <c r="E14" s="30" t="s">
        <v>199</v>
      </c>
      <c r="F14" s="30" t="s">
        <v>200</v>
      </c>
      <c r="G14" s="30" t="s">
        <v>201</v>
      </c>
      <c r="H14" s="30" t="s">
        <v>202</v>
      </c>
      <c r="I14" s="30"/>
      <c r="J14" s="29" t="s">
        <v>8</v>
      </c>
      <c r="K14" s="29" t="s">
        <v>61</v>
      </c>
      <c r="L14" s="27"/>
      <c r="M14" s="31"/>
      <c r="N14" s="30"/>
      <c r="O14" s="30"/>
      <c r="P14" s="30"/>
    </row>
    <row r="15" spans="1:16" ht="28.5" customHeight="1" x14ac:dyDescent="0.3">
      <c r="A15" s="29" t="s">
        <v>203</v>
      </c>
      <c r="B15" s="29" t="s">
        <v>13</v>
      </c>
      <c r="C15" s="30" t="s">
        <v>204</v>
      </c>
      <c r="D15" s="30" t="s">
        <v>205</v>
      </c>
      <c r="E15" s="30" t="s">
        <v>174</v>
      </c>
      <c r="F15" s="30" t="s">
        <v>206</v>
      </c>
      <c r="G15" s="30" t="s">
        <v>207</v>
      </c>
      <c r="H15" s="30" t="s">
        <v>208</v>
      </c>
      <c r="I15" s="30"/>
      <c r="J15" s="29" t="s">
        <v>8</v>
      </c>
      <c r="K15" s="29" t="s">
        <v>59</v>
      </c>
      <c r="L15" s="27"/>
      <c r="M15" s="31"/>
      <c r="N15" s="30"/>
      <c r="O15" s="30"/>
      <c r="P15" s="30"/>
    </row>
    <row r="16" spans="1:16" ht="28.5" customHeight="1" x14ac:dyDescent="0.3">
      <c r="A16" s="29" t="s">
        <v>209</v>
      </c>
      <c r="B16" s="29" t="s">
        <v>13</v>
      </c>
      <c r="C16" s="30" t="s">
        <v>210</v>
      </c>
      <c r="D16" s="30" t="s">
        <v>211</v>
      </c>
      <c r="E16" s="30" t="s">
        <v>174</v>
      </c>
      <c r="F16" s="30" t="s">
        <v>212</v>
      </c>
      <c r="G16" s="30" t="s">
        <v>213</v>
      </c>
      <c r="H16" s="30" t="s">
        <v>214</v>
      </c>
      <c r="I16" s="30"/>
      <c r="J16" s="29" t="s">
        <v>8</v>
      </c>
      <c r="K16" s="29" t="s">
        <v>61</v>
      </c>
      <c r="L16" s="27"/>
      <c r="M16" s="31"/>
      <c r="N16" s="30"/>
      <c r="O16" s="30"/>
      <c r="P16" s="30"/>
    </row>
    <row r="17" spans="1:16" ht="28.5" customHeight="1" x14ac:dyDescent="0.3">
      <c r="A17" s="29" t="s">
        <v>215</v>
      </c>
      <c r="B17" s="29" t="s">
        <v>13</v>
      </c>
      <c r="C17" s="30" t="s">
        <v>216</v>
      </c>
      <c r="D17" s="30" t="s">
        <v>217</v>
      </c>
      <c r="E17" s="30" t="s">
        <v>218</v>
      </c>
      <c r="F17" s="30" t="s">
        <v>219</v>
      </c>
      <c r="G17" s="30" t="s">
        <v>220</v>
      </c>
      <c r="H17" s="30" t="s">
        <v>221</v>
      </c>
      <c r="I17" s="30"/>
      <c r="J17" s="29" t="s">
        <v>8</v>
      </c>
      <c r="K17" s="29" t="s">
        <v>59</v>
      </c>
      <c r="L17" s="27"/>
      <c r="M17" s="31"/>
      <c r="N17" s="30"/>
      <c r="O17" s="30"/>
      <c r="P17" s="30"/>
    </row>
    <row r="18" spans="1:16" ht="28.5" customHeight="1" x14ac:dyDescent="0.3">
      <c r="A18" s="29" t="s">
        <v>222</v>
      </c>
      <c r="B18" s="29" t="s">
        <v>13</v>
      </c>
      <c r="C18" s="30" t="s">
        <v>223</v>
      </c>
      <c r="D18" s="30" t="s">
        <v>224</v>
      </c>
      <c r="E18" s="30" t="s">
        <v>174</v>
      </c>
      <c r="F18" s="30" t="s">
        <v>225</v>
      </c>
      <c r="G18" s="30" t="s">
        <v>226</v>
      </c>
      <c r="H18" s="30" t="s">
        <v>227</v>
      </c>
      <c r="I18" s="30"/>
      <c r="J18" s="29" t="s">
        <v>8</v>
      </c>
      <c r="K18" s="29" t="s">
        <v>61</v>
      </c>
      <c r="L18" s="27"/>
      <c r="M18" s="31"/>
      <c r="N18" s="30"/>
      <c r="O18" s="30"/>
      <c r="P18" s="30"/>
    </row>
    <row r="19" spans="1:16" ht="28.5" customHeight="1" x14ac:dyDescent="0.3">
      <c r="A19" s="29" t="s">
        <v>228</v>
      </c>
      <c r="B19" s="29" t="s">
        <v>13</v>
      </c>
      <c r="C19" s="30" t="s">
        <v>229</v>
      </c>
      <c r="D19" s="30" t="s">
        <v>230</v>
      </c>
      <c r="E19" s="30" t="s">
        <v>174</v>
      </c>
      <c r="F19" s="30" t="s">
        <v>231</v>
      </c>
      <c r="G19" s="30" t="s">
        <v>232</v>
      </c>
      <c r="H19" s="30" t="s">
        <v>233</v>
      </c>
      <c r="I19" s="30"/>
      <c r="J19" s="29" t="s">
        <v>8</v>
      </c>
      <c r="K19" s="29" t="s">
        <v>61</v>
      </c>
      <c r="L19" s="27"/>
      <c r="M19" s="31"/>
      <c r="N19" s="30"/>
      <c r="O19" s="30"/>
      <c r="P19" s="30"/>
    </row>
    <row r="20" spans="1:16" ht="28.5" customHeight="1" x14ac:dyDescent="0.3">
      <c r="A20" s="29" t="s">
        <v>234</v>
      </c>
      <c r="B20" s="29" t="s">
        <v>13</v>
      </c>
      <c r="C20" s="30" t="s">
        <v>235</v>
      </c>
      <c r="D20" s="30" t="s">
        <v>236</v>
      </c>
      <c r="E20" s="30" t="s">
        <v>174</v>
      </c>
      <c r="F20" s="30" t="s">
        <v>237</v>
      </c>
      <c r="G20" s="30" t="s">
        <v>238</v>
      </c>
      <c r="H20" s="30" t="s">
        <v>239</v>
      </c>
      <c r="I20" s="30"/>
      <c r="J20" s="29" t="s">
        <v>8</v>
      </c>
      <c r="K20" s="29" t="s">
        <v>61</v>
      </c>
      <c r="L20" s="27"/>
      <c r="M20" s="31"/>
      <c r="N20" s="30"/>
      <c r="O20" s="30"/>
      <c r="P20" s="30"/>
    </row>
    <row r="21" spans="1:16" ht="28.5" customHeight="1" x14ac:dyDescent="0.3">
      <c r="A21" s="29" t="s">
        <v>240</v>
      </c>
      <c r="B21" s="29" t="s">
        <v>13</v>
      </c>
      <c r="C21" s="30" t="s">
        <v>241</v>
      </c>
      <c r="D21" s="30" t="s">
        <v>242</v>
      </c>
      <c r="E21" s="30" t="s">
        <v>243</v>
      </c>
      <c r="F21" s="30" t="s">
        <v>244</v>
      </c>
      <c r="G21" s="30" t="s">
        <v>245</v>
      </c>
      <c r="H21" s="30" t="s">
        <v>246</v>
      </c>
      <c r="I21" s="30"/>
      <c r="J21" s="29" t="s">
        <v>8</v>
      </c>
      <c r="K21" s="29" t="s">
        <v>61</v>
      </c>
      <c r="L21" s="27"/>
      <c r="M21" s="31"/>
      <c r="N21" s="30"/>
      <c r="O21" s="30"/>
      <c r="P21" s="30"/>
    </row>
    <row r="22" spans="1:16" ht="28.5" customHeight="1" x14ac:dyDescent="0.3">
      <c r="A22" s="29" t="s">
        <v>247</v>
      </c>
      <c r="B22" s="29" t="s">
        <v>13</v>
      </c>
      <c r="C22" s="30" t="s">
        <v>248</v>
      </c>
      <c r="D22" s="30" t="s">
        <v>249</v>
      </c>
      <c r="E22" s="30" t="s">
        <v>250</v>
      </c>
      <c r="F22" s="30" t="s">
        <v>251</v>
      </c>
      <c r="G22" s="30" t="s">
        <v>252</v>
      </c>
      <c r="H22" s="30" t="s">
        <v>253</v>
      </c>
      <c r="I22" s="30"/>
      <c r="J22" s="29" t="s">
        <v>8</v>
      </c>
      <c r="K22" s="29" t="s">
        <v>59</v>
      </c>
      <c r="L22" s="27"/>
      <c r="M22" s="31"/>
      <c r="N22" s="30"/>
      <c r="O22" s="30"/>
      <c r="P22" s="30"/>
    </row>
    <row r="23" spans="1:16" ht="28.5" customHeight="1" x14ac:dyDescent="0.3">
      <c r="A23" s="29" t="s">
        <v>254</v>
      </c>
      <c r="B23" s="29" t="s">
        <v>13</v>
      </c>
      <c r="C23" s="30" t="s">
        <v>255</v>
      </c>
      <c r="D23" s="30" t="s">
        <v>256</v>
      </c>
      <c r="E23" s="30" t="s">
        <v>174</v>
      </c>
      <c r="F23" s="30" t="s">
        <v>257</v>
      </c>
      <c r="G23" s="30" t="s">
        <v>258</v>
      </c>
      <c r="H23" s="30" t="s">
        <v>259</v>
      </c>
      <c r="I23" s="30"/>
      <c r="J23" s="29" t="s">
        <v>8</v>
      </c>
      <c r="K23" s="29" t="s">
        <v>61</v>
      </c>
      <c r="L23" s="27"/>
      <c r="M23" s="31"/>
      <c r="N23" s="30"/>
      <c r="O23" s="30"/>
      <c r="P23" s="30"/>
    </row>
    <row r="24" spans="1:16" ht="28.5" customHeight="1" x14ac:dyDescent="0.3">
      <c r="A24" s="29" t="s">
        <v>260</v>
      </c>
      <c r="B24" s="29" t="s">
        <v>13</v>
      </c>
      <c r="C24" s="30" t="s">
        <v>261</v>
      </c>
      <c r="D24" s="30" t="s">
        <v>262</v>
      </c>
      <c r="E24" s="30" t="s">
        <v>174</v>
      </c>
      <c r="F24" s="30" t="s">
        <v>263</v>
      </c>
      <c r="G24" s="30" t="s">
        <v>264</v>
      </c>
      <c r="H24" s="30" t="s">
        <v>265</v>
      </c>
      <c r="I24" s="30"/>
      <c r="J24" s="29" t="s">
        <v>8</v>
      </c>
      <c r="K24" s="29" t="s">
        <v>61</v>
      </c>
      <c r="L24" s="27"/>
      <c r="M24" s="31"/>
      <c r="N24" s="30"/>
      <c r="O24" s="30"/>
      <c r="P24" s="30"/>
    </row>
    <row r="25" spans="1:16" ht="28.5" customHeight="1" x14ac:dyDescent="0.3">
      <c r="A25" s="29" t="s">
        <v>266</v>
      </c>
      <c r="B25" s="29" t="s">
        <v>13</v>
      </c>
      <c r="C25" s="30" t="s">
        <v>267</v>
      </c>
      <c r="D25" s="30" t="s">
        <v>268</v>
      </c>
      <c r="E25" s="30" t="s">
        <v>269</v>
      </c>
      <c r="F25" s="30" t="s">
        <v>270</v>
      </c>
      <c r="G25" s="30" t="s">
        <v>271</v>
      </c>
      <c r="H25" s="30" t="s">
        <v>272</v>
      </c>
      <c r="I25" s="30"/>
      <c r="J25" s="29" t="s">
        <v>8</v>
      </c>
      <c r="K25" s="29" t="s">
        <v>59</v>
      </c>
      <c r="L25" s="27"/>
      <c r="M25" s="31"/>
      <c r="N25" s="30"/>
      <c r="O25" s="30"/>
      <c r="P25" s="30"/>
    </row>
    <row r="26" spans="1:16" ht="28.5" customHeight="1" x14ac:dyDescent="0.3">
      <c r="A26" s="29" t="s">
        <v>273</v>
      </c>
      <c r="B26" s="29" t="s">
        <v>13</v>
      </c>
      <c r="C26" s="30" t="s">
        <v>274</v>
      </c>
      <c r="D26" s="30" t="s">
        <v>275</v>
      </c>
      <c r="E26" s="30" t="s">
        <v>174</v>
      </c>
      <c r="F26" s="30" t="s">
        <v>276</v>
      </c>
      <c r="G26" s="30" t="s">
        <v>277</v>
      </c>
      <c r="H26" s="30" t="s">
        <v>278</v>
      </c>
      <c r="I26" s="30"/>
      <c r="J26" s="29" t="s">
        <v>8</v>
      </c>
      <c r="K26" s="29" t="s">
        <v>59</v>
      </c>
      <c r="L26" s="27"/>
      <c r="M26" s="31"/>
      <c r="N26" s="30"/>
      <c r="O26" s="30"/>
      <c r="P26" s="30"/>
    </row>
    <row r="27" spans="1:16" ht="28.5" customHeight="1" x14ac:dyDescent="0.3">
      <c r="A27" s="29" t="s">
        <v>279</v>
      </c>
      <c r="B27" s="29" t="s">
        <v>13</v>
      </c>
      <c r="C27" s="30" t="s">
        <v>280</v>
      </c>
      <c r="D27" s="30" t="s">
        <v>281</v>
      </c>
      <c r="E27" s="30" t="s">
        <v>282</v>
      </c>
      <c r="F27" s="30" t="s">
        <v>283</v>
      </c>
      <c r="G27" s="30" t="s">
        <v>284</v>
      </c>
      <c r="H27" s="30" t="s">
        <v>285</v>
      </c>
      <c r="I27" s="30"/>
      <c r="J27" s="29" t="s">
        <v>8</v>
      </c>
      <c r="K27" s="29" t="s">
        <v>61</v>
      </c>
      <c r="L27" s="27"/>
      <c r="M27" s="31"/>
      <c r="N27" s="30"/>
      <c r="O27" s="30"/>
      <c r="P27" s="30"/>
    </row>
    <row r="28" spans="1:16" ht="28.5" customHeight="1" x14ac:dyDescent="0.3">
      <c r="A28" s="29" t="s">
        <v>286</v>
      </c>
      <c r="B28" s="29" t="s">
        <v>13</v>
      </c>
      <c r="C28" s="30" t="s">
        <v>287</v>
      </c>
      <c r="D28" s="30" t="s">
        <v>288</v>
      </c>
      <c r="E28" s="30" t="s">
        <v>174</v>
      </c>
      <c r="F28" s="30" t="s">
        <v>289</v>
      </c>
      <c r="G28" s="30" t="s">
        <v>290</v>
      </c>
      <c r="H28" s="30" t="s">
        <v>291</v>
      </c>
      <c r="I28" s="30"/>
      <c r="J28" s="29" t="s">
        <v>8</v>
      </c>
      <c r="K28" s="29" t="s">
        <v>63</v>
      </c>
      <c r="L28" s="27"/>
      <c r="M28" s="31"/>
      <c r="N28" s="30"/>
      <c r="O28" s="30"/>
      <c r="P28" s="30"/>
    </row>
  </sheetData>
  <autoFilter ref="A2:P2" xr:uid="{00000000-0009-0000-0000-000004000000}"/>
  <mergeCells count="1">
    <mergeCell ref="A1:P1"/>
  </mergeCells>
  <dataValidations count="3">
    <dataValidation type="list" allowBlank="1" sqref="J3 J4 J5 J6 J7 J8 J9 J10 J11 J12 J13 J14 J15 J16 J17 J18 J19 J20 J21 J22 J23 J24 J25 J26 J27 J28" xr:uid="{00000000-0002-0000-0400-000000000000}">
      <formula1>"Not Run,Pass,Fail,Blocked,N/A"</formula1>
    </dataValidation>
    <dataValidation type="list" allowBlank="1" sqref="K3 K4 K5 K6 K7 K8 K9 K10 K11 K12 K13 K14 K15 K16 K17 K18 K19 K20 K21 K22 K23 K24 K25 K26 K27 K28" xr:uid="{00000000-0002-0000-0400-000001000000}">
      <formula1>"Critical,High,Medium,Low"</formula1>
    </dataValidation>
    <dataValidation type="list" allowBlank="1" sqref="B3 B4 B5 B6 B7 B8 B9 B10 B11 B12 B13 B14 B15 B16 B17 B18 B19 B20 B21 B22 B23 B24 B25 B26 B27 B28" xr:uid="{00000000-0002-0000-0400-000002000000}">
      <formula1>"ADMIN,MANAGER,AGENT,USER,SYSTEM"</formula1>
    </dataValidation>
  </dataValidation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0"/>
  <sheetViews>
    <sheetView workbookViewId="0">
      <pane ySplit="2" topLeftCell="A3" activePane="bottomLeft" state="frozen"/>
      <selection pane="bottomLeft" activeCell="D16" sqref="D16"/>
    </sheetView>
  </sheetViews>
  <sheetFormatPr defaultRowHeight="14.4" x14ac:dyDescent="0.3"/>
  <cols>
    <col min="1" max="1" width="13" customWidth="1"/>
    <col min="2" max="2" width="11" customWidth="1"/>
    <col min="3" max="3" width="20" customWidth="1"/>
    <col min="4" max="4" width="36" customWidth="1"/>
    <col min="5" max="5" width="30" customWidth="1"/>
    <col min="6" max="6" width="24" customWidth="1"/>
    <col min="7" max="7" width="42" customWidth="1"/>
    <col min="8" max="8" width="30" customWidth="1"/>
    <col min="9" max="9" width="28" customWidth="1"/>
    <col min="10" max="11" width="12" customWidth="1"/>
    <col min="12" max="12" width="16" customWidth="1"/>
    <col min="13" max="13" width="14" customWidth="1"/>
    <col min="14" max="14" width="22" customWidth="1"/>
    <col min="15" max="15" width="14" customWidth="1"/>
    <col min="16" max="16" width="26" customWidth="1"/>
  </cols>
  <sheetData>
    <row r="1" spans="1:16" ht="27.75" customHeight="1" x14ac:dyDescent="0.3">
      <c r="A1" s="42" t="s">
        <v>292</v>
      </c>
      <c r="B1" s="43"/>
      <c r="C1" s="43"/>
      <c r="D1" s="43"/>
      <c r="E1" s="43"/>
      <c r="F1" s="43"/>
      <c r="G1" s="43"/>
      <c r="H1" s="43"/>
      <c r="I1" s="43"/>
      <c r="J1" s="43"/>
      <c r="K1" s="43"/>
      <c r="L1" s="43"/>
      <c r="M1" s="43"/>
      <c r="N1" s="43"/>
      <c r="O1" s="43"/>
      <c r="P1" s="44"/>
    </row>
    <row r="2" spans="1:16" ht="15" customHeight="1" x14ac:dyDescent="0.3">
      <c r="A2" s="28" t="s">
        <v>25</v>
      </c>
      <c r="B2" s="28" t="s">
        <v>11</v>
      </c>
      <c r="C2" s="28" t="s">
        <v>32</v>
      </c>
      <c r="D2" s="28" t="s">
        <v>36</v>
      </c>
      <c r="E2" s="28" t="s">
        <v>40</v>
      </c>
      <c r="F2" s="28" t="s">
        <v>44</v>
      </c>
      <c r="G2" s="28" t="s">
        <v>46</v>
      </c>
      <c r="H2" s="28" t="s">
        <v>48</v>
      </c>
      <c r="I2" s="14" t="s">
        <v>50</v>
      </c>
      <c r="J2" s="14" t="s">
        <v>2</v>
      </c>
      <c r="K2" s="14" t="s">
        <v>53</v>
      </c>
      <c r="L2" s="14" t="s">
        <v>121</v>
      </c>
      <c r="M2" s="14" t="s">
        <v>122</v>
      </c>
      <c r="N2" s="14" t="s">
        <v>55</v>
      </c>
      <c r="O2" s="14" t="s">
        <v>123</v>
      </c>
      <c r="P2" s="14" t="s">
        <v>71</v>
      </c>
    </row>
    <row r="3" spans="1:16" ht="28.5" customHeight="1" x14ac:dyDescent="0.3">
      <c r="A3" s="29" t="s">
        <v>293</v>
      </c>
      <c r="B3" s="29" t="s">
        <v>14</v>
      </c>
      <c r="C3" s="30" t="s">
        <v>294</v>
      </c>
      <c r="D3" s="30" t="s">
        <v>295</v>
      </c>
      <c r="E3" s="30" t="s">
        <v>296</v>
      </c>
      <c r="F3" s="30" t="s">
        <v>297</v>
      </c>
      <c r="G3" s="30" t="s">
        <v>298</v>
      </c>
      <c r="H3" s="30" t="s">
        <v>299</v>
      </c>
      <c r="I3" s="30"/>
      <c r="J3" s="29" t="s">
        <v>8</v>
      </c>
      <c r="K3" s="29" t="s">
        <v>59</v>
      </c>
      <c r="L3" s="27"/>
      <c r="M3" s="31"/>
      <c r="N3" s="30"/>
      <c r="O3" s="30"/>
      <c r="P3" s="30"/>
    </row>
    <row r="4" spans="1:16" ht="28.5" customHeight="1" x14ac:dyDescent="0.3">
      <c r="A4" s="29" t="s">
        <v>300</v>
      </c>
      <c r="B4" s="29" t="s">
        <v>14</v>
      </c>
      <c r="C4" s="30" t="s">
        <v>301</v>
      </c>
      <c r="D4" s="30" t="s">
        <v>302</v>
      </c>
      <c r="E4" s="30" t="s">
        <v>303</v>
      </c>
      <c r="F4" s="30" t="s">
        <v>304</v>
      </c>
      <c r="G4" s="30" t="s">
        <v>305</v>
      </c>
      <c r="H4" s="30" t="s">
        <v>306</v>
      </c>
      <c r="I4" s="30"/>
      <c r="J4" s="29" t="s">
        <v>8</v>
      </c>
      <c r="K4" s="29" t="s">
        <v>59</v>
      </c>
      <c r="L4" s="27"/>
      <c r="M4" s="31"/>
      <c r="N4" s="30"/>
      <c r="O4" s="30"/>
      <c r="P4" s="30"/>
    </row>
    <row r="5" spans="1:16" ht="28.5" customHeight="1" x14ac:dyDescent="0.3">
      <c r="A5" s="29" t="s">
        <v>307</v>
      </c>
      <c r="B5" s="29" t="s">
        <v>14</v>
      </c>
      <c r="C5" s="30" t="s">
        <v>313</v>
      </c>
      <c r="D5" s="30" t="s">
        <v>314</v>
      </c>
      <c r="E5" s="30" t="s">
        <v>315</v>
      </c>
      <c r="F5" s="30" t="s">
        <v>316</v>
      </c>
      <c r="G5" s="30" t="s">
        <v>317</v>
      </c>
      <c r="H5" s="30" t="s">
        <v>318</v>
      </c>
      <c r="I5" s="30"/>
      <c r="J5" s="29" t="s">
        <v>8</v>
      </c>
      <c r="K5" s="29" t="s">
        <v>59</v>
      </c>
      <c r="L5" s="27"/>
      <c r="M5" s="31"/>
      <c r="N5" s="30"/>
      <c r="O5" s="30"/>
      <c r="P5" s="30"/>
    </row>
    <row r="6" spans="1:16" ht="28.5" customHeight="1" x14ac:dyDescent="0.3">
      <c r="A6" s="29" t="s">
        <v>308</v>
      </c>
      <c r="B6" s="29" t="s">
        <v>14</v>
      </c>
      <c r="C6" s="30" t="s">
        <v>320</v>
      </c>
      <c r="D6" s="30" t="s">
        <v>321</v>
      </c>
      <c r="E6" s="30" t="s">
        <v>322</v>
      </c>
      <c r="F6" s="30" t="s">
        <v>310</v>
      </c>
      <c r="G6" s="30" t="s">
        <v>323</v>
      </c>
      <c r="H6" s="30" t="s">
        <v>324</v>
      </c>
      <c r="I6" s="30"/>
      <c r="J6" s="29" t="s">
        <v>8</v>
      </c>
      <c r="K6" s="29" t="s">
        <v>59</v>
      </c>
      <c r="L6" s="27"/>
      <c r="M6" s="31"/>
      <c r="N6" s="30"/>
      <c r="O6" s="30"/>
      <c r="P6" s="30"/>
    </row>
    <row r="7" spans="1:16" ht="28.5" customHeight="1" x14ac:dyDescent="0.3">
      <c r="A7" s="29" t="s">
        <v>309</v>
      </c>
      <c r="B7" s="29" t="s">
        <v>14</v>
      </c>
      <c r="C7" s="30" t="s">
        <v>326</v>
      </c>
      <c r="D7" s="30" t="s">
        <v>327</v>
      </c>
      <c r="E7" s="30" t="s">
        <v>328</v>
      </c>
      <c r="F7" s="30" t="s">
        <v>329</v>
      </c>
      <c r="G7" s="30" t="s">
        <v>330</v>
      </c>
      <c r="H7" s="30" t="s">
        <v>331</v>
      </c>
      <c r="I7" s="30"/>
      <c r="J7" s="29" t="s">
        <v>8</v>
      </c>
      <c r="K7" s="29" t="s">
        <v>59</v>
      </c>
      <c r="L7" s="27"/>
      <c r="M7" s="31"/>
      <c r="N7" s="30"/>
      <c r="O7" s="30"/>
      <c r="P7" s="30"/>
    </row>
    <row r="8" spans="1:16" ht="28.5" customHeight="1" x14ac:dyDescent="0.3">
      <c r="A8" s="29" t="s">
        <v>311</v>
      </c>
      <c r="B8" s="29" t="s">
        <v>14</v>
      </c>
      <c r="C8" s="30" t="s">
        <v>332</v>
      </c>
      <c r="D8" s="30" t="s">
        <v>333</v>
      </c>
      <c r="E8" s="30" t="s">
        <v>328</v>
      </c>
      <c r="F8" s="30" t="s">
        <v>310</v>
      </c>
      <c r="G8" s="30" t="s">
        <v>334</v>
      </c>
      <c r="H8" s="30" t="s">
        <v>335</v>
      </c>
      <c r="I8" s="30"/>
      <c r="J8" s="29" t="s">
        <v>8</v>
      </c>
      <c r="K8" s="29" t="s">
        <v>61</v>
      </c>
      <c r="L8" s="27"/>
      <c r="M8" s="31"/>
      <c r="N8" s="30"/>
      <c r="O8" s="30"/>
      <c r="P8" s="30"/>
    </row>
    <row r="9" spans="1:16" ht="28.5" customHeight="1" x14ac:dyDescent="0.3">
      <c r="A9" s="29" t="s">
        <v>312</v>
      </c>
      <c r="B9" s="29" t="s">
        <v>14</v>
      </c>
      <c r="C9" s="30" t="s">
        <v>337</v>
      </c>
      <c r="D9" s="30" t="s">
        <v>338</v>
      </c>
      <c r="E9" s="30" t="s">
        <v>339</v>
      </c>
      <c r="F9" s="30" t="s">
        <v>340</v>
      </c>
      <c r="G9" s="30" t="s">
        <v>341</v>
      </c>
      <c r="H9" s="30" t="s">
        <v>342</v>
      </c>
      <c r="I9" s="30"/>
      <c r="J9" s="29" t="s">
        <v>8</v>
      </c>
      <c r="K9" s="29" t="s">
        <v>61</v>
      </c>
      <c r="L9" s="27"/>
      <c r="M9" s="31"/>
      <c r="N9" s="30"/>
      <c r="O9" s="30"/>
      <c r="P9" s="30"/>
    </row>
    <row r="10" spans="1:16" ht="28.5" customHeight="1" x14ac:dyDescent="0.3">
      <c r="A10" s="29" t="s">
        <v>319</v>
      </c>
      <c r="B10" s="29" t="s">
        <v>14</v>
      </c>
      <c r="C10" s="30" t="s">
        <v>343</v>
      </c>
      <c r="D10" s="30" t="s">
        <v>344</v>
      </c>
      <c r="E10" s="30" t="s">
        <v>345</v>
      </c>
      <c r="F10" s="30" t="s">
        <v>346</v>
      </c>
      <c r="G10" s="30" t="s">
        <v>347</v>
      </c>
      <c r="H10" s="30" t="s">
        <v>348</v>
      </c>
      <c r="I10" s="30"/>
      <c r="J10" s="29" t="s">
        <v>8</v>
      </c>
      <c r="K10" s="29" t="s">
        <v>61</v>
      </c>
      <c r="L10" s="27"/>
      <c r="M10" s="31"/>
      <c r="N10" s="30"/>
      <c r="O10" s="30"/>
      <c r="P10" s="30"/>
    </row>
  </sheetData>
  <autoFilter ref="A2:P2" xr:uid="{00000000-0009-0000-0000-000005000000}"/>
  <mergeCells count="1">
    <mergeCell ref="A1:P1"/>
  </mergeCells>
  <phoneticPr fontId="11" type="noConversion"/>
  <dataValidations count="3">
    <dataValidation type="list" allowBlank="1" sqref="J3:J10" xr:uid="{00000000-0002-0000-0500-000000000000}">
      <formula1>"Not Run,Pass,Fail,Blocked,N/A"</formula1>
    </dataValidation>
    <dataValidation type="list" allowBlank="1" sqref="K3:K10" xr:uid="{00000000-0002-0000-0500-000001000000}">
      <formula1>"Critical,High,Medium,Low"</formula1>
    </dataValidation>
    <dataValidation type="list" allowBlank="1" sqref="B3:B10" xr:uid="{00000000-0002-0000-0500-000002000000}">
      <formula1>"ADMIN,MANAGER,AGENT,USER,SYSTEM"</formula1>
    </dataValidation>
  </dataValidation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0"/>
  <sheetViews>
    <sheetView tabSelected="1" workbookViewId="0">
      <pane ySplit="2" topLeftCell="A3" activePane="bottomLeft" state="frozen"/>
      <selection pane="bottomLeft" activeCell="D12" sqref="D12"/>
    </sheetView>
  </sheetViews>
  <sheetFormatPr defaultRowHeight="14.4" x14ac:dyDescent="0.3"/>
  <cols>
    <col min="1" max="1" width="13" customWidth="1"/>
    <col min="2" max="2" width="11" customWidth="1"/>
    <col min="3" max="3" width="20" customWidth="1"/>
    <col min="4" max="4" width="36" customWidth="1"/>
    <col min="5" max="5" width="30" customWidth="1"/>
    <col min="6" max="6" width="24" customWidth="1"/>
    <col min="7" max="7" width="42" customWidth="1"/>
    <col min="8" max="8" width="30" customWidth="1"/>
    <col min="9" max="9" width="28" customWidth="1"/>
    <col min="10" max="11" width="12" customWidth="1"/>
    <col min="12" max="12" width="16" customWidth="1"/>
    <col min="13" max="13" width="14" customWidth="1"/>
    <col min="14" max="14" width="22" customWidth="1"/>
    <col min="15" max="15" width="14" customWidth="1"/>
    <col min="16" max="16" width="26" customWidth="1"/>
  </cols>
  <sheetData>
    <row r="1" spans="1:16" ht="27.75" customHeight="1" x14ac:dyDescent="0.3">
      <c r="A1" s="42" t="s">
        <v>349</v>
      </c>
      <c r="B1" s="43"/>
      <c r="C1" s="43"/>
      <c r="D1" s="43"/>
      <c r="E1" s="43"/>
      <c r="F1" s="43"/>
      <c r="G1" s="43"/>
      <c r="H1" s="43"/>
      <c r="I1" s="43"/>
      <c r="J1" s="43"/>
      <c r="K1" s="43"/>
      <c r="L1" s="43"/>
      <c r="M1" s="43"/>
      <c r="N1" s="43"/>
      <c r="O1" s="43"/>
      <c r="P1" s="44"/>
    </row>
    <row r="2" spans="1:16" ht="15" customHeight="1" x14ac:dyDescent="0.3">
      <c r="A2" s="28" t="s">
        <v>25</v>
      </c>
      <c r="B2" s="28" t="s">
        <v>11</v>
      </c>
      <c r="C2" s="28" t="s">
        <v>32</v>
      </c>
      <c r="D2" s="28" t="s">
        <v>36</v>
      </c>
      <c r="E2" s="28" t="s">
        <v>40</v>
      </c>
      <c r="F2" s="28" t="s">
        <v>44</v>
      </c>
      <c r="G2" s="28" t="s">
        <v>46</v>
      </c>
      <c r="H2" s="28" t="s">
        <v>48</v>
      </c>
      <c r="I2" s="14" t="s">
        <v>50</v>
      </c>
      <c r="J2" s="14" t="s">
        <v>2</v>
      </c>
      <c r="K2" s="14" t="s">
        <v>53</v>
      </c>
      <c r="L2" s="14" t="s">
        <v>121</v>
      </c>
      <c r="M2" s="14" t="s">
        <v>122</v>
      </c>
      <c r="N2" s="14" t="s">
        <v>55</v>
      </c>
      <c r="O2" s="14" t="s">
        <v>123</v>
      </c>
      <c r="P2" s="14" t="s">
        <v>71</v>
      </c>
    </row>
    <row r="3" spans="1:16" ht="28.5" customHeight="1" x14ac:dyDescent="0.3">
      <c r="A3" s="29" t="s">
        <v>350</v>
      </c>
      <c r="B3" s="29" t="s">
        <v>15</v>
      </c>
      <c r="C3" s="30" t="s">
        <v>351</v>
      </c>
      <c r="D3" s="30" t="s">
        <v>352</v>
      </c>
      <c r="E3" s="30" t="s">
        <v>353</v>
      </c>
      <c r="F3" s="30" t="s">
        <v>354</v>
      </c>
      <c r="G3" s="30" t="s">
        <v>355</v>
      </c>
      <c r="H3" s="30" t="s">
        <v>356</v>
      </c>
      <c r="I3" s="30"/>
      <c r="J3" s="29" t="s">
        <v>8</v>
      </c>
      <c r="K3" s="29" t="s">
        <v>59</v>
      </c>
      <c r="L3" s="27"/>
      <c r="M3" s="31"/>
      <c r="N3" s="30"/>
      <c r="O3" s="30"/>
      <c r="P3" s="30"/>
    </row>
    <row r="4" spans="1:16" ht="28.5" customHeight="1" x14ac:dyDescent="0.3">
      <c r="A4" s="29" t="s">
        <v>357</v>
      </c>
      <c r="B4" s="29" t="s">
        <v>15</v>
      </c>
      <c r="C4" s="30" t="s">
        <v>358</v>
      </c>
      <c r="D4" s="30" t="s">
        <v>359</v>
      </c>
      <c r="E4" s="30" t="s">
        <v>360</v>
      </c>
      <c r="F4" s="30" t="s">
        <v>263</v>
      </c>
      <c r="G4" s="30" t="s">
        <v>361</v>
      </c>
      <c r="H4" s="30" t="s">
        <v>362</v>
      </c>
      <c r="I4" s="30"/>
      <c r="J4" s="29" t="s">
        <v>8</v>
      </c>
      <c r="K4" s="29" t="s">
        <v>59</v>
      </c>
      <c r="L4" s="27"/>
      <c r="M4" s="31"/>
      <c r="N4" s="30"/>
      <c r="O4" s="30"/>
      <c r="P4" s="30"/>
    </row>
    <row r="5" spans="1:16" ht="28.5" customHeight="1" x14ac:dyDescent="0.3">
      <c r="A5" s="29" t="s">
        <v>363</v>
      </c>
      <c r="B5" s="29" t="s">
        <v>15</v>
      </c>
      <c r="C5" s="30" t="s">
        <v>364</v>
      </c>
      <c r="D5" s="30" t="s">
        <v>365</v>
      </c>
      <c r="E5" s="30" t="s">
        <v>366</v>
      </c>
      <c r="F5" s="30" t="s">
        <v>367</v>
      </c>
      <c r="G5" s="30" t="s">
        <v>368</v>
      </c>
      <c r="H5" s="30" t="s">
        <v>369</v>
      </c>
      <c r="I5" s="30"/>
      <c r="J5" s="29" t="s">
        <v>8</v>
      </c>
      <c r="K5" s="29" t="s">
        <v>59</v>
      </c>
      <c r="L5" s="27"/>
      <c r="M5" s="31"/>
      <c r="N5" s="30"/>
      <c r="O5" s="30"/>
      <c r="P5" s="30"/>
    </row>
    <row r="6" spans="1:16" ht="28.5" customHeight="1" x14ac:dyDescent="0.3">
      <c r="A6" s="29" t="s">
        <v>370</v>
      </c>
      <c r="B6" s="29" t="s">
        <v>15</v>
      </c>
      <c r="C6" s="30" t="s">
        <v>371</v>
      </c>
      <c r="D6" s="30" t="s">
        <v>372</v>
      </c>
      <c r="E6" s="30" t="s">
        <v>373</v>
      </c>
      <c r="F6" s="30" t="s">
        <v>374</v>
      </c>
      <c r="G6" s="30" t="s">
        <v>375</v>
      </c>
      <c r="H6" s="30" t="s">
        <v>376</v>
      </c>
      <c r="I6" s="30"/>
      <c r="J6" s="29" t="s">
        <v>8</v>
      </c>
      <c r="K6" s="29" t="s">
        <v>59</v>
      </c>
      <c r="L6" s="27"/>
      <c r="M6" s="31"/>
      <c r="N6" s="30"/>
      <c r="O6" s="30"/>
      <c r="P6" s="30"/>
    </row>
    <row r="7" spans="1:16" ht="28.5" customHeight="1" x14ac:dyDescent="0.3">
      <c r="A7" s="29" t="s">
        <v>377</v>
      </c>
      <c r="B7" s="29" t="s">
        <v>15</v>
      </c>
      <c r="C7" s="30" t="s">
        <v>378</v>
      </c>
      <c r="D7" s="30" t="s">
        <v>379</v>
      </c>
      <c r="E7" s="30" t="s">
        <v>380</v>
      </c>
      <c r="F7" s="30" t="s">
        <v>381</v>
      </c>
      <c r="G7" s="30" t="s">
        <v>382</v>
      </c>
      <c r="H7" s="30" t="s">
        <v>383</v>
      </c>
      <c r="I7" s="30"/>
      <c r="J7" s="29" t="s">
        <v>8</v>
      </c>
      <c r="K7" s="29" t="s">
        <v>59</v>
      </c>
      <c r="L7" s="27"/>
      <c r="M7" s="31"/>
      <c r="N7" s="30"/>
      <c r="O7" s="30"/>
      <c r="P7" s="30"/>
    </row>
    <row r="8" spans="1:16" ht="28.5" customHeight="1" x14ac:dyDescent="0.3">
      <c r="A8" s="29" t="s">
        <v>384</v>
      </c>
      <c r="B8" s="29" t="s">
        <v>15</v>
      </c>
      <c r="C8" s="30" t="s">
        <v>385</v>
      </c>
      <c r="D8" s="30" t="s">
        <v>386</v>
      </c>
      <c r="E8" s="30" t="s">
        <v>387</v>
      </c>
      <c r="F8" s="30" t="s">
        <v>388</v>
      </c>
      <c r="G8" s="30" t="s">
        <v>389</v>
      </c>
      <c r="H8" s="30" t="s">
        <v>390</v>
      </c>
      <c r="I8" s="30"/>
      <c r="J8" s="29" t="s">
        <v>8</v>
      </c>
      <c r="K8" s="29" t="s">
        <v>61</v>
      </c>
      <c r="L8" s="27"/>
      <c r="M8" s="31"/>
      <c r="N8" s="30"/>
      <c r="O8" s="30"/>
      <c r="P8" s="30"/>
    </row>
    <row r="9" spans="1:16" ht="28.5" customHeight="1" x14ac:dyDescent="0.3">
      <c r="A9" s="29" t="s">
        <v>391</v>
      </c>
      <c r="B9" s="29" t="s">
        <v>15</v>
      </c>
      <c r="C9" s="30" t="s">
        <v>392</v>
      </c>
      <c r="D9" s="30" t="s">
        <v>393</v>
      </c>
      <c r="E9" s="30" t="s">
        <v>394</v>
      </c>
      <c r="F9" s="30" t="s">
        <v>395</v>
      </c>
      <c r="G9" s="30" t="s">
        <v>396</v>
      </c>
      <c r="H9" s="30" t="s">
        <v>397</v>
      </c>
      <c r="I9" s="30"/>
      <c r="J9" s="29" t="s">
        <v>8</v>
      </c>
      <c r="K9" s="29" t="s">
        <v>61</v>
      </c>
      <c r="L9" s="27"/>
      <c r="M9" s="31"/>
      <c r="N9" s="30"/>
      <c r="O9" s="30"/>
      <c r="P9" s="30"/>
    </row>
    <row r="10" spans="1:16" ht="28.5" customHeight="1" x14ac:dyDescent="0.3">
      <c r="A10" s="29" t="s">
        <v>398</v>
      </c>
      <c r="B10" s="29" t="s">
        <v>15</v>
      </c>
      <c r="C10" s="30" t="s">
        <v>400</v>
      </c>
      <c r="D10" s="30" t="s">
        <v>401</v>
      </c>
      <c r="E10" s="30" t="s">
        <v>402</v>
      </c>
      <c r="F10" s="30" t="s">
        <v>403</v>
      </c>
      <c r="G10" s="30" t="s">
        <v>404</v>
      </c>
      <c r="H10" s="30" t="s">
        <v>405</v>
      </c>
      <c r="I10" s="30"/>
      <c r="J10" s="29" t="s">
        <v>8</v>
      </c>
      <c r="K10" s="29" t="s">
        <v>61</v>
      </c>
      <c r="L10" s="27"/>
      <c r="M10" s="31"/>
      <c r="N10" s="30"/>
      <c r="O10" s="30"/>
      <c r="P10" s="30"/>
    </row>
    <row r="11" spans="1:16" ht="28.5" customHeight="1" x14ac:dyDescent="0.3">
      <c r="A11" s="29" t="s">
        <v>399</v>
      </c>
      <c r="B11" s="29" t="s">
        <v>15</v>
      </c>
      <c r="C11" s="30" t="s">
        <v>407</v>
      </c>
      <c r="D11" s="30" t="s">
        <v>408</v>
      </c>
      <c r="E11" s="30" t="s">
        <v>409</v>
      </c>
      <c r="F11" s="30" t="s">
        <v>410</v>
      </c>
      <c r="G11" s="30" t="s">
        <v>411</v>
      </c>
      <c r="H11" s="30" t="s">
        <v>412</v>
      </c>
      <c r="I11" s="30"/>
      <c r="J11" s="29" t="s">
        <v>8</v>
      </c>
      <c r="K11" s="29" t="s">
        <v>61</v>
      </c>
      <c r="L11" s="27"/>
      <c r="M11" s="31"/>
      <c r="N11" s="30"/>
      <c r="O11" s="30"/>
      <c r="P11" s="30"/>
    </row>
    <row r="12" spans="1:16" ht="28.5" customHeight="1" x14ac:dyDescent="0.3">
      <c r="A12" s="29" t="s">
        <v>406</v>
      </c>
      <c r="B12" s="29" t="s">
        <v>15</v>
      </c>
      <c r="C12" s="30" t="s">
        <v>414</v>
      </c>
      <c r="D12" s="30" t="s">
        <v>415</v>
      </c>
      <c r="E12" s="30" t="s">
        <v>416</v>
      </c>
      <c r="F12" s="30" t="s">
        <v>417</v>
      </c>
      <c r="G12" s="30" t="s">
        <v>418</v>
      </c>
      <c r="H12" s="30" t="s">
        <v>419</v>
      </c>
      <c r="I12" s="30"/>
      <c r="J12" s="29" t="s">
        <v>8</v>
      </c>
      <c r="K12" s="29" t="s">
        <v>59</v>
      </c>
      <c r="L12" s="27"/>
      <c r="M12" s="31"/>
      <c r="N12" s="30"/>
      <c r="O12" s="30"/>
      <c r="P12" s="30"/>
    </row>
    <row r="13" spans="1:16" ht="28.5" customHeight="1" x14ac:dyDescent="0.3">
      <c r="A13" s="29" t="s">
        <v>413</v>
      </c>
      <c r="B13" s="29" t="s">
        <v>15</v>
      </c>
      <c r="C13" s="30" t="s">
        <v>421</v>
      </c>
      <c r="D13" s="30" t="s">
        <v>422</v>
      </c>
      <c r="E13" s="30" t="s">
        <v>423</v>
      </c>
      <c r="F13" s="30" t="s">
        <v>424</v>
      </c>
      <c r="G13" s="30" t="s">
        <v>425</v>
      </c>
      <c r="H13" s="30" t="s">
        <v>426</v>
      </c>
      <c r="I13" s="30"/>
      <c r="J13" s="29" t="s">
        <v>8</v>
      </c>
      <c r="K13" s="29" t="s">
        <v>59</v>
      </c>
      <c r="L13" s="27"/>
      <c r="M13" s="31"/>
      <c r="N13" s="30"/>
      <c r="O13" s="30"/>
      <c r="P13" s="30"/>
    </row>
    <row r="14" spans="1:16" ht="28.5" customHeight="1" x14ac:dyDescent="0.3">
      <c r="A14" s="29" t="s">
        <v>420</v>
      </c>
      <c r="B14" s="29" t="s">
        <v>15</v>
      </c>
      <c r="C14" s="30" t="s">
        <v>428</v>
      </c>
      <c r="D14" s="30" t="s">
        <v>429</v>
      </c>
      <c r="E14" s="30" t="s">
        <v>430</v>
      </c>
      <c r="F14" s="30" t="s">
        <v>263</v>
      </c>
      <c r="G14" s="30" t="s">
        <v>431</v>
      </c>
      <c r="H14" s="30" t="s">
        <v>432</v>
      </c>
      <c r="I14" s="30"/>
      <c r="J14" s="29" t="s">
        <v>8</v>
      </c>
      <c r="K14" s="29" t="s">
        <v>59</v>
      </c>
      <c r="L14" s="27"/>
      <c r="M14" s="31"/>
      <c r="N14" s="30"/>
      <c r="O14" s="30"/>
      <c r="P14" s="30"/>
    </row>
    <row r="15" spans="1:16" ht="28.5" customHeight="1" x14ac:dyDescent="0.3">
      <c r="A15" s="29" t="s">
        <v>427</v>
      </c>
      <c r="B15" s="29" t="s">
        <v>15</v>
      </c>
      <c r="C15" s="30" t="s">
        <v>434</v>
      </c>
      <c r="D15" s="30" t="s">
        <v>435</v>
      </c>
      <c r="E15" s="30" t="s">
        <v>436</v>
      </c>
      <c r="F15" s="30" t="s">
        <v>437</v>
      </c>
      <c r="G15" s="30" t="s">
        <v>438</v>
      </c>
      <c r="H15" s="30" t="s">
        <v>439</v>
      </c>
      <c r="I15" s="30"/>
      <c r="J15" s="29" t="s">
        <v>8</v>
      </c>
      <c r="K15" s="29" t="s">
        <v>61</v>
      </c>
      <c r="L15" s="27"/>
      <c r="M15" s="31"/>
      <c r="N15" s="30"/>
      <c r="O15" s="30"/>
      <c r="P15" s="30"/>
    </row>
    <row r="16" spans="1:16" ht="28.5" customHeight="1" x14ac:dyDescent="0.3">
      <c r="A16" s="29" t="s">
        <v>433</v>
      </c>
      <c r="B16" s="29" t="s">
        <v>15</v>
      </c>
      <c r="C16" s="30" t="s">
        <v>441</v>
      </c>
      <c r="D16" s="30" t="s">
        <v>442</v>
      </c>
      <c r="E16" s="30" t="s">
        <v>443</v>
      </c>
      <c r="F16" s="30" t="s">
        <v>444</v>
      </c>
      <c r="G16" s="30" t="s">
        <v>445</v>
      </c>
      <c r="H16" s="30" t="s">
        <v>446</v>
      </c>
      <c r="I16" s="30"/>
      <c r="J16" s="29" t="s">
        <v>8</v>
      </c>
      <c r="K16" s="29" t="s">
        <v>59</v>
      </c>
      <c r="L16" s="27"/>
      <c r="M16" s="31"/>
      <c r="N16" s="30"/>
      <c r="O16" s="30"/>
      <c r="P16" s="30"/>
    </row>
    <row r="17" spans="1:16" ht="28.5" customHeight="1" x14ac:dyDescent="0.3">
      <c r="A17" s="29" t="s">
        <v>440</v>
      </c>
      <c r="B17" s="29" t="s">
        <v>15</v>
      </c>
      <c r="C17" s="30" t="s">
        <v>448</v>
      </c>
      <c r="D17" s="30" t="s">
        <v>449</v>
      </c>
      <c r="E17" s="30" t="s">
        <v>450</v>
      </c>
      <c r="F17" s="30" t="s">
        <v>451</v>
      </c>
      <c r="G17" s="30" t="s">
        <v>452</v>
      </c>
      <c r="H17" s="30" t="s">
        <v>453</v>
      </c>
      <c r="I17" s="30"/>
      <c r="J17" s="29" t="s">
        <v>8</v>
      </c>
      <c r="K17" s="29" t="s">
        <v>59</v>
      </c>
      <c r="L17" s="27"/>
      <c r="M17" s="31"/>
      <c r="N17" s="30"/>
      <c r="O17" s="30"/>
      <c r="P17" s="30"/>
    </row>
    <row r="18" spans="1:16" ht="28.5" customHeight="1" x14ac:dyDescent="0.3">
      <c r="A18" s="29" t="s">
        <v>447</v>
      </c>
      <c r="B18" s="29" t="s">
        <v>15</v>
      </c>
      <c r="C18" s="30" t="s">
        <v>455</v>
      </c>
      <c r="D18" s="30" t="s">
        <v>456</v>
      </c>
      <c r="E18" s="30" t="s">
        <v>457</v>
      </c>
      <c r="F18" s="30" t="s">
        <v>458</v>
      </c>
      <c r="G18" s="30" t="s">
        <v>459</v>
      </c>
      <c r="H18" s="30" t="s">
        <v>460</v>
      </c>
      <c r="I18" s="30"/>
      <c r="J18" s="29" t="s">
        <v>8</v>
      </c>
      <c r="K18" s="29" t="s">
        <v>59</v>
      </c>
      <c r="L18" s="27"/>
      <c r="M18" s="31"/>
      <c r="N18" s="30"/>
      <c r="O18" s="30"/>
      <c r="P18" s="30"/>
    </row>
    <row r="19" spans="1:16" ht="28.5" customHeight="1" x14ac:dyDescent="0.3">
      <c r="A19" s="29" t="s">
        <v>454</v>
      </c>
      <c r="B19" s="29" t="s">
        <v>15</v>
      </c>
      <c r="C19" s="30" t="s">
        <v>462</v>
      </c>
      <c r="D19" s="30" t="s">
        <v>463</v>
      </c>
      <c r="E19" s="30" t="s">
        <v>464</v>
      </c>
      <c r="F19" s="30" t="s">
        <v>465</v>
      </c>
      <c r="G19" s="30" t="s">
        <v>466</v>
      </c>
      <c r="H19" s="30" t="s">
        <v>467</v>
      </c>
      <c r="I19" s="30"/>
      <c r="J19" s="29" t="s">
        <v>8</v>
      </c>
      <c r="K19" s="29" t="s">
        <v>61</v>
      </c>
      <c r="L19" s="27"/>
      <c r="M19" s="31"/>
      <c r="N19" s="30"/>
      <c r="O19" s="30"/>
      <c r="P19" s="30"/>
    </row>
    <row r="20" spans="1:16" ht="28.5" customHeight="1" x14ac:dyDescent="0.3">
      <c r="A20" s="29" t="s">
        <v>461</v>
      </c>
      <c r="B20" s="29" t="s">
        <v>15</v>
      </c>
      <c r="C20" s="30" t="s">
        <v>469</v>
      </c>
      <c r="D20" s="30" t="s">
        <v>470</v>
      </c>
      <c r="E20" s="30" t="s">
        <v>471</v>
      </c>
      <c r="F20" s="30" t="s">
        <v>472</v>
      </c>
      <c r="G20" s="30" t="s">
        <v>473</v>
      </c>
      <c r="H20" s="30" t="s">
        <v>474</v>
      </c>
      <c r="I20" s="30"/>
      <c r="J20" s="29" t="s">
        <v>8</v>
      </c>
      <c r="K20" s="29" t="s">
        <v>61</v>
      </c>
      <c r="L20" s="27"/>
      <c r="M20" s="31"/>
      <c r="N20" s="30"/>
      <c r="O20" s="30"/>
      <c r="P20" s="30"/>
    </row>
  </sheetData>
  <autoFilter ref="A2:P2" xr:uid="{00000000-0009-0000-0000-000006000000}"/>
  <mergeCells count="1">
    <mergeCell ref="A1:P1"/>
  </mergeCells>
  <phoneticPr fontId="11" type="noConversion"/>
  <dataValidations count="3">
    <dataValidation type="list" allowBlank="1" sqref="J3:J20" xr:uid="{00000000-0002-0000-0600-000000000000}">
      <formula1>"Not Run,Pass,Fail,Blocked,N/A"</formula1>
    </dataValidation>
    <dataValidation type="list" allowBlank="1" sqref="K3:K20" xr:uid="{00000000-0002-0000-0600-000001000000}">
      <formula1>"Critical,High,Medium,Low"</formula1>
    </dataValidation>
    <dataValidation type="list" allowBlank="1" sqref="B3:B20" xr:uid="{00000000-0002-0000-0600-000002000000}">
      <formula1>"ADMIN,MANAGER,AGENT,USER,SYSTEM"</formula1>
    </dataValidation>
  </dataValidations>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8"/>
  <sheetViews>
    <sheetView workbookViewId="0">
      <pane ySplit="2" topLeftCell="A15" activePane="bottomLeft" state="frozen"/>
      <selection pane="bottomLeft" activeCell="K15" sqref="K15"/>
    </sheetView>
  </sheetViews>
  <sheetFormatPr defaultRowHeight="14.4" x14ac:dyDescent="0.3"/>
  <cols>
    <col min="1" max="1" width="13" customWidth="1"/>
    <col min="2" max="2" width="11" customWidth="1"/>
    <col min="3" max="3" width="20" customWidth="1"/>
    <col min="4" max="4" width="36" customWidth="1"/>
    <col min="5" max="5" width="30" customWidth="1"/>
    <col min="6" max="6" width="24" customWidth="1"/>
    <col min="7" max="7" width="42" customWidth="1"/>
    <col min="8" max="8" width="30" customWidth="1"/>
    <col min="9" max="9" width="28" customWidth="1"/>
    <col min="10" max="11" width="12" customWidth="1"/>
    <col min="12" max="12" width="16" customWidth="1"/>
    <col min="13" max="13" width="14" customWidth="1"/>
    <col min="14" max="14" width="22" customWidth="1"/>
    <col min="15" max="15" width="14" customWidth="1"/>
    <col min="16" max="16" width="26" customWidth="1"/>
  </cols>
  <sheetData>
    <row r="1" spans="1:16" ht="27.75" customHeight="1" x14ac:dyDescent="0.3">
      <c r="A1" s="42" t="s">
        <v>475</v>
      </c>
      <c r="B1" s="43"/>
      <c r="C1" s="43"/>
      <c r="D1" s="43"/>
      <c r="E1" s="43"/>
      <c r="F1" s="43"/>
      <c r="G1" s="43"/>
      <c r="H1" s="43"/>
      <c r="I1" s="43"/>
      <c r="J1" s="43"/>
      <c r="K1" s="43"/>
      <c r="L1" s="43"/>
      <c r="M1" s="43"/>
      <c r="N1" s="43"/>
      <c r="O1" s="43"/>
      <c r="P1" s="44"/>
    </row>
    <row r="2" spans="1:16" ht="15" customHeight="1" x14ac:dyDescent="0.3">
      <c r="A2" s="28" t="s">
        <v>25</v>
      </c>
      <c r="B2" s="28" t="s">
        <v>11</v>
      </c>
      <c r="C2" s="28" t="s">
        <v>32</v>
      </c>
      <c r="D2" s="28" t="s">
        <v>36</v>
      </c>
      <c r="E2" s="28" t="s">
        <v>40</v>
      </c>
      <c r="F2" s="28" t="s">
        <v>44</v>
      </c>
      <c r="G2" s="28" t="s">
        <v>46</v>
      </c>
      <c r="H2" s="28" t="s">
        <v>48</v>
      </c>
      <c r="I2" s="14" t="s">
        <v>50</v>
      </c>
      <c r="J2" s="14" t="s">
        <v>2</v>
      </c>
      <c r="K2" s="14" t="s">
        <v>53</v>
      </c>
      <c r="L2" s="14" t="s">
        <v>121</v>
      </c>
      <c r="M2" s="14" t="s">
        <v>122</v>
      </c>
      <c r="N2" s="14" t="s">
        <v>55</v>
      </c>
      <c r="O2" s="14" t="s">
        <v>123</v>
      </c>
      <c r="P2" s="14" t="s">
        <v>71</v>
      </c>
    </row>
    <row r="3" spans="1:16" ht="28.5" customHeight="1" x14ac:dyDescent="0.3">
      <c r="A3" s="29" t="s">
        <v>476</v>
      </c>
      <c r="B3" s="29" t="s">
        <v>16</v>
      </c>
      <c r="C3" s="30" t="s">
        <v>477</v>
      </c>
      <c r="D3" s="30" t="s">
        <v>478</v>
      </c>
      <c r="E3" s="30" t="s">
        <v>479</v>
      </c>
      <c r="F3" s="30" t="s">
        <v>480</v>
      </c>
      <c r="G3" s="30" t="s">
        <v>481</v>
      </c>
      <c r="H3" s="30" t="s">
        <v>482</v>
      </c>
      <c r="I3" s="30"/>
      <c r="J3" s="29" t="s">
        <v>8</v>
      </c>
      <c r="K3" s="29" t="s">
        <v>59</v>
      </c>
      <c r="L3" s="27"/>
      <c r="M3" s="31"/>
      <c r="N3" s="30"/>
      <c r="O3" s="30"/>
      <c r="P3" s="30"/>
    </row>
    <row r="4" spans="1:16" ht="28.5" customHeight="1" x14ac:dyDescent="0.3">
      <c r="A4" s="29" t="s">
        <v>483</v>
      </c>
      <c r="B4" s="29" t="s">
        <v>16</v>
      </c>
      <c r="C4" s="30" t="s">
        <v>484</v>
      </c>
      <c r="D4" s="30" t="s">
        <v>485</v>
      </c>
      <c r="E4" s="30" t="s">
        <v>486</v>
      </c>
      <c r="F4" s="30" t="s">
        <v>487</v>
      </c>
      <c r="G4" s="30" t="s">
        <v>488</v>
      </c>
      <c r="H4" s="30" t="s">
        <v>489</v>
      </c>
      <c r="I4" s="30"/>
      <c r="J4" s="29" t="s">
        <v>8</v>
      </c>
      <c r="K4" s="29" t="s">
        <v>59</v>
      </c>
      <c r="L4" s="27"/>
      <c r="M4" s="31"/>
      <c r="N4" s="30"/>
      <c r="O4" s="30"/>
      <c r="P4" s="30"/>
    </row>
    <row r="5" spans="1:16" ht="28.5" customHeight="1" x14ac:dyDescent="0.3">
      <c r="A5" s="29" t="s">
        <v>490</v>
      </c>
      <c r="B5" s="29" t="s">
        <v>16</v>
      </c>
      <c r="C5" s="30" t="s">
        <v>491</v>
      </c>
      <c r="D5" s="30" t="s">
        <v>492</v>
      </c>
      <c r="E5" s="30" t="s">
        <v>493</v>
      </c>
      <c r="F5" s="30" t="s">
        <v>263</v>
      </c>
      <c r="G5" s="30" t="s">
        <v>494</v>
      </c>
      <c r="H5" s="30" t="s">
        <v>495</v>
      </c>
      <c r="I5" s="30"/>
      <c r="J5" s="29" t="s">
        <v>8</v>
      </c>
      <c r="K5" s="29" t="s">
        <v>59</v>
      </c>
      <c r="L5" s="27"/>
      <c r="M5" s="31"/>
      <c r="N5" s="30"/>
      <c r="O5" s="30"/>
      <c r="P5" s="30"/>
    </row>
    <row r="6" spans="1:16" ht="28.5" customHeight="1" x14ac:dyDescent="0.3">
      <c r="A6" s="29" t="s">
        <v>496</v>
      </c>
      <c r="B6" s="29" t="s">
        <v>16</v>
      </c>
      <c r="C6" s="30" t="s">
        <v>497</v>
      </c>
      <c r="D6" s="30" t="s">
        <v>498</v>
      </c>
      <c r="E6" s="30" t="s">
        <v>499</v>
      </c>
      <c r="F6" s="30" t="s">
        <v>500</v>
      </c>
      <c r="G6" s="30" t="s">
        <v>501</v>
      </c>
      <c r="H6" s="30" t="s">
        <v>502</v>
      </c>
      <c r="I6" s="30"/>
      <c r="J6" s="29" t="s">
        <v>8</v>
      </c>
      <c r="K6" s="29" t="s">
        <v>59</v>
      </c>
      <c r="L6" s="27"/>
      <c r="M6" s="31"/>
      <c r="N6" s="30"/>
      <c r="O6" s="30"/>
      <c r="P6" s="30"/>
    </row>
    <row r="7" spans="1:16" ht="28.5" customHeight="1" x14ac:dyDescent="0.3">
      <c r="A7" s="29" t="s">
        <v>503</v>
      </c>
      <c r="B7" s="29" t="s">
        <v>16</v>
      </c>
      <c r="C7" s="30" t="s">
        <v>504</v>
      </c>
      <c r="D7" s="30" t="s">
        <v>505</v>
      </c>
      <c r="E7" s="30" t="s">
        <v>499</v>
      </c>
      <c r="F7" s="30" t="s">
        <v>506</v>
      </c>
      <c r="G7" s="30" t="s">
        <v>507</v>
      </c>
      <c r="H7" s="30" t="s">
        <v>508</v>
      </c>
      <c r="I7" s="30"/>
      <c r="J7" s="29" t="s">
        <v>8</v>
      </c>
      <c r="K7" s="29" t="s">
        <v>59</v>
      </c>
      <c r="L7" s="27"/>
      <c r="M7" s="31"/>
      <c r="N7" s="30"/>
      <c r="O7" s="30"/>
      <c r="P7" s="30"/>
    </row>
    <row r="8" spans="1:16" ht="28.5" customHeight="1" x14ac:dyDescent="0.3">
      <c r="A8" s="29" t="s">
        <v>509</v>
      </c>
      <c r="B8" s="29" t="s">
        <v>16</v>
      </c>
      <c r="C8" s="30" t="s">
        <v>510</v>
      </c>
      <c r="D8" s="30" t="s">
        <v>511</v>
      </c>
      <c r="E8" s="30" t="s">
        <v>512</v>
      </c>
      <c r="F8" s="30" t="s">
        <v>513</v>
      </c>
      <c r="G8" s="30" t="s">
        <v>514</v>
      </c>
      <c r="H8" s="30" t="s">
        <v>515</v>
      </c>
      <c r="I8" s="30"/>
      <c r="J8" s="29" t="s">
        <v>8</v>
      </c>
      <c r="K8" s="29" t="s">
        <v>59</v>
      </c>
      <c r="L8" s="27"/>
      <c r="M8" s="31"/>
      <c r="N8" s="30"/>
      <c r="O8" s="30"/>
      <c r="P8" s="30"/>
    </row>
    <row r="9" spans="1:16" ht="28.5" customHeight="1" x14ac:dyDescent="0.3">
      <c r="A9" s="29" t="s">
        <v>516</v>
      </c>
      <c r="B9" s="29" t="s">
        <v>16</v>
      </c>
      <c r="C9" s="30" t="s">
        <v>517</v>
      </c>
      <c r="D9" s="30" t="s">
        <v>518</v>
      </c>
      <c r="E9" s="30" t="s">
        <v>519</v>
      </c>
      <c r="F9" s="30" t="s">
        <v>520</v>
      </c>
      <c r="G9" s="30" t="s">
        <v>521</v>
      </c>
      <c r="H9" s="30" t="s">
        <v>522</v>
      </c>
      <c r="I9" s="30"/>
      <c r="J9" s="29" t="s">
        <v>8</v>
      </c>
      <c r="K9" s="29" t="s">
        <v>61</v>
      </c>
      <c r="L9" s="27"/>
      <c r="M9" s="31"/>
      <c r="N9" s="30"/>
      <c r="O9" s="30"/>
      <c r="P9" s="30"/>
    </row>
    <row r="10" spans="1:16" ht="28.5" customHeight="1" x14ac:dyDescent="0.3">
      <c r="A10" s="29" t="s">
        <v>523</v>
      </c>
      <c r="B10" s="29" t="s">
        <v>16</v>
      </c>
      <c r="C10" s="30" t="s">
        <v>524</v>
      </c>
      <c r="D10" s="30" t="s">
        <v>525</v>
      </c>
      <c r="E10" s="30" t="s">
        <v>499</v>
      </c>
      <c r="F10" s="30" t="s">
        <v>526</v>
      </c>
      <c r="G10" s="30" t="s">
        <v>527</v>
      </c>
      <c r="H10" s="30" t="s">
        <v>528</v>
      </c>
      <c r="I10" s="30"/>
      <c r="J10" s="29" t="s">
        <v>8</v>
      </c>
      <c r="K10" s="29" t="s">
        <v>59</v>
      </c>
      <c r="L10" s="27"/>
      <c r="M10" s="31"/>
      <c r="N10" s="30"/>
      <c r="O10" s="30"/>
      <c r="P10" s="30"/>
    </row>
    <row r="11" spans="1:16" ht="28.5" customHeight="1" x14ac:dyDescent="0.3">
      <c r="A11" s="29" t="s">
        <v>529</v>
      </c>
      <c r="B11" s="29" t="s">
        <v>16</v>
      </c>
      <c r="C11" s="30" t="s">
        <v>530</v>
      </c>
      <c r="D11" s="30" t="s">
        <v>531</v>
      </c>
      <c r="E11" s="30" t="s">
        <v>532</v>
      </c>
      <c r="F11" s="30" t="s">
        <v>533</v>
      </c>
      <c r="G11" s="30" t="s">
        <v>534</v>
      </c>
      <c r="H11" s="30" t="s">
        <v>535</v>
      </c>
      <c r="I11" s="30"/>
      <c r="J11" s="29" t="s">
        <v>8</v>
      </c>
      <c r="K11" s="29" t="s">
        <v>59</v>
      </c>
      <c r="L11" s="27"/>
      <c r="M11" s="31"/>
      <c r="N11" s="30"/>
      <c r="O11" s="30"/>
      <c r="P11" s="30"/>
    </row>
    <row r="12" spans="1:16" ht="28.5" customHeight="1" x14ac:dyDescent="0.3">
      <c r="A12" s="29" t="s">
        <v>536</v>
      </c>
      <c r="B12" s="29" t="s">
        <v>16</v>
      </c>
      <c r="C12" s="30" t="s">
        <v>537</v>
      </c>
      <c r="D12" s="30" t="s">
        <v>538</v>
      </c>
      <c r="E12" s="30" t="s">
        <v>539</v>
      </c>
      <c r="F12" s="30" t="s">
        <v>540</v>
      </c>
      <c r="G12" s="30" t="s">
        <v>541</v>
      </c>
      <c r="H12" s="30" t="s">
        <v>542</v>
      </c>
      <c r="I12" s="30"/>
      <c r="J12" s="29" t="s">
        <v>8</v>
      </c>
      <c r="K12" s="29" t="s">
        <v>59</v>
      </c>
      <c r="L12" s="27"/>
      <c r="M12" s="31"/>
      <c r="N12" s="30"/>
      <c r="O12" s="30"/>
      <c r="P12" s="30"/>
    </row>
    <row r="13" spans="1:16" ht="28.5" customHeight="1" x14ac:dyDescent="0.3">
      <c r="A13" s="29" t="s">
        <v>543</v>
      </c>
      <c r="B13" s="29" t="s">
        <v>16</v>
      </c>
      <c r="C13" s="30" t="s">
        <v>544</v>
      </c>
      <c r="D13" s="30" t="s">
        <v>545</v>
      </c>
      <c r="E13" s="30" t="s">
        <v>546</v>
      </c>
      <c r="F13" s="30" t="s">
        <v>547</v>
      </c>
      <c r="G13" s="30" t="s">
        <v>548</v>
      </c>
      <c r="H13" s="30" t="s">
        <v>549</v>
      </c>
      <c r="I13" s="30"/>
      <c r="J13" s="29" t="s">
        <v>8</v>
      </c>
      <c r="K13" s="29" t="s">
        <v>59</v>
      </c>
      <c r="L13" s="27"/>
      <c r="M13" s="31"/>
      <c r="N13" s="30"/>
      <c r="O13" s="30"/>
      <c r="P13" s="30"/>
    </row>
    <row r="14" spans="1:16" ht="28.5" customHeight="1" x14ac:dyDescent="0.3">
      <c r="A14" s="29" t="s">
        <v>550</v>
      </c>
      <c r="B14" s="29" t="s">
        <v>16</v>
      </c>
      <c r="C14" s="30" t="s">
        <v>551</v>
      </c>
      <c r="D14" s="30" t="s">
        <v>552</v>
      </c>
      <c r="E14" s="30" t="s">
        <v>553</v>
      </c>
      <c r="F14" s="30" t="s">
        <v>554</v>
      </c>
      <c r="G14" s="30" t="s">
        <v>555</v>
      </c>
      <c r="H14" s="30" t="s">
        <v>556</v>
      </c>
      <c r="I14" s="30"/>
      <c r="J14" s="29" t="s">
        <v>8</v>
      </c>
      <c r="K14" s="29" t="s">
        <v>61</v>
      </c>
      <c r="L14" s="27"/>
      <c r="M14" s="31"/>
      <c r="N14" s="30"/>
      <c r="O14" s="30"/>
      <c r="P14" s="30"/>
    </row>
    <row r="15" spans="1:16" ht="28.5" customHeight="1" x14ac:dyDescent="0.3">
      <c r="A15" s="29" t="s">
        <v>557</v>
      </c>
      <c r="B15" s="29" t="s">
        <v>16</v>
      </c>
      <c r="C15" s="30" t="s">
        <v>558</v>
      </c>
      <c r="D15" s="30" t="s">
        <v>559</v>
      </c>
      <c r="E15" s="30" t="s">
        <v>499</v>
      </c>
      <c r="F15" s="30" t="s">
        <v>560</v>
      </c>
      <c r="G15" s="30" t="s">
        <v>561</v>
      </c>
      <c r="H15" s="30" t="s">
        <v>562</v>
      </c>
      <c r="I15" s="30"/>
      <c r="J15" s="29" t="s">
        <v>8</v>
      </c>
      <c r="K15" s="29" t="s">
        <v>59</v>
      </c>
      <c r="L15" s="27"/>
      <c r="M15" s="31"/>
      <c r="N15" s="30"/>
      <c r="O15" s="30"/>
      <c r="P15" s="30"/>
    </row>
    <row r="16" spans="1:16" ht="28.5" customHeight="1" x14ac:dyDescent="0.3">
      <c r="A16" s="29" t="s">
        <v>563</v>
      </c>
      <c r="B16" s="29" t="s">
        <v>16</v>
      </c>
      <c r="C16" s="30" t="s">
        <v>564</v>
      </c>
      <c r="D16" s="30" t="s">
        <v>565</v>
      </c>
      <c r="E16" s="30" t="s">
        <v>499</v>
      </c>
      <c r="F16" s="30" t="s">
        <v>566</v>
      </c>
      <c r="G16" s="30" t="s">
        <v>567</v>
      </c>
      <c r="H16" s="30" t="s">
        <v>568</v>
      </c>
      <c r="I16" s="30"/>
      <c r="J16" s="29" t="s">
        <v>8</v>
      </c>
      <c r="K16" s="29" t="s">
        <v>61</v>
      </c>
      <c r="L16" s="27"/>
      <c r="M16" s="31"/>
      <c r="N16" s="30"/>
      <c r="O16" s="30"/>
      <c r="P16" s="30"/>
    </row>
    <row r="17" spans="1:16" ht="28.5" customHeight="1" x14ac:dyDescent="0.3">
      <c r="A17" s="29" t="s">
        <v>569</v>
      </c>
      <c r="B17" s="29" t="s">
        <v>16</v>
      </c>
      <c r="C17" s="30" t="s">
        <v>570</v>
      </c>
      <c r="D17" s="30" t="s">
        <v>571</v>
      </c>
      <c r="E17" s="30" t="s">
        <v>499</v>
      </c>
      <c r="F17" s="30" t="s">
        <v>572</v>
      </c>
      <c r="G17" s="30" t="s">
        <v>573</v>
      </c>
      <c r="H17" s="30" t="s">
        <v>574</v>
      </c>
      <c r="I17" s="30"/>
      <c r="J17" s="29" t="s">
        <v>8</v>
      </c>
      <c r="K17" s="29" t="s">
        <v>61</v>
      </c>
      <c r="L17" s="27"/>
      <c r="M17" s="31"/>
      <c r="N17" s="30"/>
      <c r="O17" s="30"/>
      <c r="P17" s="30"/>
    </row>
    <row r="18" spans="1:16" ht="28.5" customHeight="1" x14ac:dyDescent="0.3">
      <c r="A18" s="29" t="s">
        <v>575</v>
      </c>
      <c r="B18" s="29" t="s">
        <v>16</v>
      </c>
      <c r="C18" s="30" t="s">
        <v>576</v>
      </c>
      <c r="D18" s="30" t="s">
        <v>577</v>
      </c>
      <c r="E18" s="30" t="s">
        <v>578</v>
      </c>
      <c r="F18" s="30" t="s">
        <v>579</v>
      </c>
      <c r="G18" s="30" t="s">
        <v>580</v>
      </c>
      <c r="H18" s="30" t="s">
        <v>581</v>
      </c>
      <c r="I18" s="30"/>
      <c r="J18" s="29" t="s">
        <v>8</v>
      </c>
      <c r="K18" s="29" t="s">
        <v>59</v>
      </c>
      <c r="L18" s="27"/>
      <c r="M18" s="31"/>
      <c r="N18" s="30"/>
      <c r="O18" s="30"/>
      <c r="P18" s="30"/>
    </row>
    <row r="19" spans="1:16" ht="28.5" customHeight="1" x14ac:dyDescent="0.3">
      <c r="A19" s="29" t="s">
        <v>582</v>
      </c>
      <c r="B19" s="29" t="s">
        <v>16</v>
      </c>
      <c r="C19" s="30" t="s">
        <v>583</v>
      </c>
      <c r="D19" s="30" t="s">
        <v>584</v>
      </c>
      <c r="E19" s="30" t="s">
        <v>585</v>
      </c>
      <c r="F19" s="30" t="s">
        <v>586</v>
      </c>
      <c r="G19" s="30" t="s">
        <v>587</v>
      </c>
      <c r="H19" s="30" t="s">
        <v>588</v>
      </c>
      <c r="I19" s="30"/>
      <c r="J19" s="29" t="s">
        <v>8</v>
      </c>
      <c r="K19" s="29" t="s">
        <v>59</v>
      </c>
      <c r="L19" s="27"/>
      <c r="M19" s="31"/>
      <c r="N19" s="30"/>
      <c r="O19" s="30"/>
      <c r="P19" s="30"/>
    </row>
    <row r="20" spans="1:16" ht="28.5" customHeight="1" x14ac:dyDescent="0.3">
      <c r="A20" s="29" t="s">
        <v>589</v>
      </c>
      <c r="B20" s="29" t="s">
        <v>16</v>
      </c>
      <c r="C20" s="30" t="s">
        <v>590</v>
      </c>
      <c r="D20" s="30" t="s">
        <v>591</v>
      </c>
      <c r="E20" s="30" t="s">
        <v>592</v>
      </c>
      <c r="F20" s="30" t="s">
        <v>593</v>
      </c>
      <c r="G20" s="30" t="s">
        <v>594</v>
      </c>
      <c r="H20" s="30" t="s">
        <v>595</v>
      </c>
      <c r="I20" s="30"/>
      <c r="J20" s="29" t="s">
        <v>8</v>
      </c>
      <c r="K20" s="29" t="s">
        <v>61</v>
      </c>
      <c r="L20" s="27"/>
      <c r="M20" s="31"/>
      <c r="N20" s="30"/>
      <c r="O20" s="30"/>
      <c r="P20" s="30"/>
    </row>
    <row r="21" spans="1:16" ht="28.5" customHeight="1" x14ac:dyDescent="0.3">
      <c r="A21" s="29" t="s">
        <v>596</v>
      </c>
      <c r="B21" s="29" t="s">
        <v>16</v>
      </c>
      <c r="C21" s="30" t="s">
        <v>597</v>
      </c>
      <c r="D21" s="30" t="s">
        <v>598</v>
      </c>
      <c r="E21" s="30" t="s">
        <v>599</v>
      </c>
      <c r="F21" s="30" t="s">
        <v>263</v>
      </c>
      <c r="G21" s="30" t="s">
        <v>600</v>
      </c>
      <c r="H21" s="30" t="s">
        <v>601</v>
      </c>
      <c r="I21" s="30"/>
      <c r="J21" s="29" t="s">
        <v>8</v>
      </c>
      <c r="K21" s="29" t="s">
        <v>61</v>
      </c>
      <c r="L21" s="27"/>
      <c r="M21" s="31"/>
      <c r="N21" s="30"/>
      <c r="O21" s="30"/>
      <c r="P21" s="30"/>
    </row>
    <row r="22" spans="1:16" ht="28.5" customHeight="1" x14ac:dyDescent="0.3">
      <c r="A22" s="29" t="s">
        <v>602</v>
      </c>
      <c r="B22" s="29" t="s">
        <v>16</v>
      </c>
      <c r="C22" s="30" t="s">
        <v>603</v>
      </c>
      <c r="D22" s="30" t="s">
        <v>604</v>
      </c>
      <c r="E22" s="30" t="s">
        <v>499</v>
      </c>
      <c r="F22" s="30" t="s">
        <v>605</v>
      </c>
      <c r="G22" s="30" t="s">
        <v>606</v>
      </c>
      <c r="H22" s="30" t="s">
        <v>607</v>
      </c>
      <c r="I22" s="30"/>
      <c r="J22" s="29" t="s">
        <v>8</v>
      </c>
      <c r="K22" s="29" t="s">
        <v>61</v>
      </c>
      <c r="L22" s="27"/>
      <c r="M22" s="31"/>
      <c r="N22" s="30"/>
      <c r="O22" s="30"/>
      <c r="P22" s="30"/>
    </row>
    <row r="23" spans="1:16" ht="28.5" customHeight="1" x14ac:dyDescent="0.3">
      <c r="A23" s="29" t="s">
        <v>608</v>
      </c>
      <c r="B23" s="29" t="s">
        <v>16</v>
      </c>
      <c r="C23" s="30" t="s">
        <v>609</v>
      </c>
      <c r="D23" s="30" t="s">
        <v>610</v>
      </c>
      <c r="E23" s="30" t="s">
        <v>611</v>
      </c>
      <c r="F23" s="30" t="s">
        <v>612</v>
      </c>
      <c r="G23" s="30" t="s">
        <v>613</v>
      </c>
      <c r="H23" s="30" t="s">
        <v>614</v>
      </c>
      <c r="I23" s="30"/>
      <c r="J23" s="29" t="s">
        <v>8</v>
      </c>
      <c r="K23" s="29" t="s">
        <v>61</v>
      </c>
      <c r="L23" s="27"/>
      <c r="M23" s="31"/>
      <c r="N23" s="30"/>
      <c r="O23" s="30"/>
      <c r="P23" s="30"/>
    </row>
    <row r="24" spans="1:16" ht="28.5" customHeight="1" x14ac:dyDescent="0.3">
      <c r="A24" s="29" t="s">
        <v>615</v>
      </c>
      <c r="B24" s="29" t="s">
        <v>16</v>
      </c>
      <c r="C24" s="30" t="s">
        <v>616</v>
      </c>
      <c r="D24" s="30" t="s">
        <v>617</v>
      </c>
      <c r="E24" s="30" t="s">
        <v>499</v>
      </c>
      <c r="F24" s="30" t="s">
        <v>618</v>
      </c>
      <c r="G24" s="30" t="s">
        <v>619</v>
      </c>
      <c r="H24" s="30" t="s">
        <v>620</v>
      </c>
      <c r="I24" s="30"/>
      <c r="J24" s="29" t="s">
        <v>8</v>
      </c>
      <c r="K24" s="29" t="s">
        <v>61</v>
      </c>
      <c r="L24" s="27"/>
      <c r="M24" s="31"/>
      <c r="N24" s="30"/>
      <c r="O24" s="30"/>
      <c r="P24" s="30"/>
    </row>
    <row r="25" spans="1:16" ht="28.5" customHeight="1" x14ac:dyDescent="0.3">
      <c r="A25" s="29" t="s">
        <v>621</v>
      </c>
      <c r="B25" s="29" t="s">
        <v>16</v>
      </c>
      <c r="C25" s="30" t="s">
        <v>622</v>
      </c>
      <c r="D25" s="30" t="s">
        <v>623</v>
      </c>
      <c r="E25" s="30" t="s">
        <v>624</v>
      </c>
      <c r="F25" s="30" t="s">
        <v>625</v>
      </c>
      <c r="G25" s="30" t="s">
        <v>626</v>
      </c>
      <c r="H25" s="30" t="s">
        <v>627</v>
      </c>
      <c r="I25" s="30"/>
      <c r="J25" s="29" t="s">
        <v>8</v>
      </c>
      <c r="K25" s="29" t="s">
        <v>61</v>
      </c>
      <c r="L25" s="27"/>
      <c r="M25" s="31"/>
      <c r="N25" s="30"/>
      <c r="O25" s="30"/>
      <c r="P25" s="30"/>
    </row>
    <row r="26" spans="1:16" ht="28.5" customHeight="1" x14ac:dyDescent="0.3">
      <c r="A26" s="29" t="s">
        <v>628</v>
      </c>
      <c r="B26" s="29" t="s">
        <v>16</v>
      </c>
      <c r="C26" s="30" t="s">
        <v>629</v>
      </c>
      <c r="D26" s="30" t="s">
        <v>630</v>
      </c>
      <c r="E26" s="30" t="s">
        <v>631</v>
      </c>
      <c r="F26" s="30" t="s">
        <v>632</v>
      </c>
      <c r="G26" s="30" t="s">
        <v>633</v>
      </c>
      <c r="H26" s="30" t="s">
        <v>634</v>
      </c>
      <c r="I26" s="30"/>
      <c r="J26" s="29" t="s">
        <v>8</v>
      </c>
      <c r="K26" s="29" t="s">
        <v>61</v>
      </c>
      <c r="L26" s="27"/>
      <c r="M26" s="31"/>
      <c r="N26" s="30"/>
      <c r="O26" s="30"/>
      <c r="P26" s="30"/>
    </row>
    <row r="27" spans="1:16" ht="28.5" customHeight="1" x14ac:dyDescent="0.3">
      <c r="A27" s="29" t="s">
        <v>635</v>
      </c>
      <c r="B27" s="29" t="s">
        <v>16</v>
      </c>
      <c r="C27" s="30" t="s">
        <v>636</v>
      </c>
      <c r="D27" s="30" t="s">
        <v>637</v>
      </c>
      <c r="E27" s="30" t="s">
        <v>638</v>
      </c>
      <c r="F27" s="30" t="s">
        <v>639</v>
      </c>
      <c r="G27" s="30" t="s">
        <v>640</v>
      </c>
      <c r="H27" s="30" t="s">
        <v>641</v>
      </c>
      <c r="I27" s="30"/>
      <c r="J27" s="29" t="s">
        <v>8</v>
      </c>
      <c r="K27" s="29" t="s">
        <v>59</v>
      </c>
      <c r="L27" s="27"/>
      <c r="M27" s="31"/>
      <c r="N27" s="30"/>
      <c r="O27" s="30"/>
      <c r="P27" s="30"/>
    </row>
    <row r="28" spans="1:16" ht="28.5" customHeight="1" x14ac:dyDescent="0.3">
      <c r="A28" s="29" t="s">
        <v>642</v>
      </c>
      <c r="B28" s="29" t="s">
        <v>16</v>
      </c>
      <c r="C28" s="30" t="s">
        <v>643</v>
      </c>
      <c r="D28" s="30" t="s">
        <v>644</v>
      </c>
      <c r="E28" s="30" t="s">
        <v>263</v>
      </c>
      <c r="F28" s="30" t="s">
        <v>645</v>
      </c>
      <c r="G28" s="30" t="s">
        <v>646</v>
      </c>
      <c r="H28" s="30" t="s">
        <v>647</v>
      </c>
      <c r="I28" s="30"/>
      <c r="J28" s="29" t="s">
        <v>8</v>
      </c>
      <c r="K28" s="29" t="s">
        <v>63</v>
      </c>
      <c r="L28" s="27"/>
      <c r="M28" s="31"/>
      <c r="N28" s="30"/>
      <c r="O28" s="30"/>
      <c r="P28" s="30"/>
    </row>
  </sheetData>
  <autoFilter ref="A2:P2" xr:uid="{00000000-0009-0000-0000-000007000000}"/>
  <mergeCells count="1">
    <mergeCell ref="A1:P1"/>
  </mergeCells>
  <dataValidations count="3">
    <dataValidation type="list" allowBlank="1" sqref="J3 J4 J5 J6 J7 J8 J9 J10 J11 J12 J13 J14 J15 J16 J17 J18 J19 J20 J21 J22 J23 J24 J25 J26 J27 J28" xr:uid="{00000000-0002-0000-0700-000000000000}">
      <formula1>"Not Run,Pass,Fail,Blocked,N/A"</formula1>
    </dataValidation>
    <dataValidation type="list" allowBlank="1" sqref="K3 K4 K5 K6 K7 K8 K9 K10 K11 K12 K13 K14 K15 K16 K17 K18 K19 K20 K21 K22 K23 K24 K25 K26 K27 K28" xr:uid="{00000000-0002-0000-0700-000001000000}">
      <formula1>"Critical,High,Medium,Low"</formula1>
    </dataValidation>
    <dataValidation type="list" allowBlank="1" sqref="B3 B4 B5 B6 B7 B8 B9 B10 B11 B12 B13 B14 B15 B16 B17 B18 B19 B20 B21 B22 B23 B24 B25 B26 B27 B28" xr:uid="{00000000-0002-0000-0700-000002000000}">
      <formula1>"ADMIN,MANAGER,AGENT,USER,SYSTEM"</formula1>
    </dataValidation>
  </dataValidations>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75"/>
  <sheetViews>
    <sheetView workbookViewId="0">
      <pane ySplit="4" topLeftCell="A5" activePane="bottomLeft" state="frozen"/>
      <selection pane="bottomLeft" activeCell="I5" sqref="I5"/>
    </sheetView>
  </sheetViews>
  <sheetFormatPr defaultRowHeight="14.4" x14ac:dyDescent="0.3"/>
  <cols>
    <col min="1" max="1" width="8" customWidth="1"/>
    <col min="2" max="2" width="30" customWidth="1"/>
    <col min="3" max="3" width="11" customWidth="1"/>
    <col min="4" max="4" width="13" customWidth="1"/>
    <col min="5" max="5" width="22" customWidth="1"/>
    <col min="6" max="6" width="44" customWidth="1"/>
    <col min="7" max="7" width="30" customWidth="1"/>
    <col min="8" max="8" width="36" customWidth="1"/>
    <col min="9" max="9" width="12" customWidth="1"/>
  </cols>
  <sheetData>
    <row r="1" spans="1:9" ht="28.05" customHeight="1" x14ac:dyDescent="0.3">
      <c r="A1" s="45" t="s">
        <v>648</v>
      </c>
      <c r="B1" s="40"/>
      <c r="C1" s="40"/>
      <c r="D1" s="40"/>
      <c r="E1" s="40"/>
      <c r="F1" s="40"/>
      <c r="G1" s="40"/>
      <c r="H1" s="40"/>
      <c r="I1" s="40"/>
    </row>
    <row r="2" spans="1:9" ht="42" customHeight="1" x14ac:dyDescent="0.3">
      <c r="A2" s="46" t="s">
        <v>649</v>
      </c>
      <c r="B2" s="40"/>
      <c r="C2" s="40"/>
      <c r="D2" s="40"/>
      <c r="E2" s="40"/>
      <c r="F2" s="40"/>
      <c r="G2" s="40"/>
      <c r="H2" s="40"/>
      <c r="I2" s="40"/>
    </row>
    <row r="3" spans="1:9" x14ac:dyDescent="0.3">
      <c r="A3" s="13"/>
      <c r="B3" s="13"/>
      <c r="C3" s="13"/>
      <c r="D3" s="13"/>
      <c r="E3" s="13"/>
      <c r="F3" s="13"/>
      <c r="G3" s="13"/>
      <c r="H3" s="13"/>
      <c r="I3" s="13"/>
    </row>
    <row r="4" spans="1:9" ht="25.95" customHeight="1" x14ac:dyDescent="0.3">
      <c r="A4" s="32" t="s">
        <v>650</v>
      </c>
      <c r="B4" s="32" t="s">
        <v>651</v>
      </c>
      <c r="C4" s="32" t="s">
        <v>11</v>
      </c>
      <c r="D4" s="32" t="s">
        <v>25</v>
      </c>
      <c r="E4" s="32" t="s">
        <v>32</v>
      </c>
      <c r="F4" s="32" t="s">
        <v>36</v>
      </c>
      <c r="G4" s="32" t="s">
        <v>652</v>
      </c>
      <c r="H4" s="32" t="s">
        <v>653</v>
      </c>
      <c r="I4" s="32" t="s">
        <v>2</v>
      </c>
    </row>
    <row r="5" spans="1:9" ht="28.5" customHeight="1" x14ac:dyDescent="0.3">
      <c r="A5" s="27">
        <v>1</v>
      </c>
      <c r="B5" s="24" t="s">
        <v>654</v>
      </c>
      <c r="C5" s="29" t="s">
        <v>13</v>
      </c>
      <c r="D5" s="29" t="s">
        <v>124</v>
      </c>
      <c r="E5" s="30" t="s">
        <v>125</v>
      </c>
      <c r="F5" s="30" t="s">
        <v>655</v>
      </c>
      <c r="G5" s="30" t="s">
        <v>127</v>
      </c>
      <c r="H5" s="30" t="s">
        <v>656</v>
      </c>
      <c r="I5" s="27" t="s">
        <v>8</v>
      </c>
    </row>
    <row r="6" spans="1:9" ht="28.5" customHeight="1" x14ac:dyDescent="0.3">
      <c r="A6" s="27">
        <v>2</v>
      </c>
      <c r="B6" s="24" t="s">
        <v>654</v>
      </c>
      <c r="C6" s="29" t="s">
        <v>13</v>
      </c>
      <c r="D6" s="29" t="s">
        <v>138</v>
      </c>
      <c r="E6" s="30" t="s">
        <v>139</v>
      </c>
      <c r="F6" s="30" t="s">
        <v>140</v>
      </c>
      <c r="G6" s="30" t="s">
        <v>141</v>
      </c>
      <c r="H6" s="30" t="s">
        <v>657</v>
      </c>
      <c r="I6" s="27" t="s">
        <v>8</v>
      </c>
    </row>
    <row r="7" spans="1:9" ht="28.5" customHeight="1" x14ac:dyDescent="0.3">
      <c r="A7" s="27">
        <v>3</v>
      </c>
      <c r="B7" s="24" t="s">
        <v>654</v>
      </c>
      <c r="C7" s="29" t="s">
        <v>13</v>
      </c>
      <c r="D7" s="29" t="s">
        <v>164</v>
      </c>
      <c r="E7" s="30" t="s">
        <v>165</v>
      </c>
      <c r="F7" s="30" t="s">
        <v>658</v>
      </c>
      <c r="G7" s="30" t="s">
        <v>659</v>
      </c>
      <c r="H7" s="30" t="s">
        <v>660</v>
      </c>
      <c r="I7" s="27" t="s">
        <v>8</v>
      </c>
    </row>
    <row r="8" spans="1:9" ht="28.5" customHeight="1" x14ac:dyDescent="0.3">
      <c r="A8" s="27">
        <v>4</v>
      </c>
      <c r="B8" s="24" t="s">
        <v>654</v>
      </c>
      <c r="C8" s="29" t="s">
        <v>13</v>
      </c>
      <c r="D8" s="29" t="s">
        <v>157</v>
      </c>
      <c r="E8" s="30" t="s">
        <v>158</v>
      </c>
      <c r="F8" s="30" t="s">
        <v>661</v>
      </c>
      <c r="G8" s="30" t="s">
        <v>160</v>
      </c>
      <c r="H8" s="30" t="s">
        <v>662</v>
      </c>
      <c r="I8" s="27" t="s">
        <v>8</v>
      </c>
    </row>
    <row r="9" spans="1:9" ht="28.5" customHeight="1" x14ac:dyDescent="0.3">
      <c r="A9" s="27">
        <v>5</v>
      </c>
      <c r="B9" s="24" t="s">
        <v>654</v>
      </c>
      <c r="C9" s="29" t="s">
        <v>13</v>
      </c>
      <c r="D9" s="29" t="s">
        <v>171</v>
      </c>
      <c r="E9" s="30" t="s">
        <v>172</v>
      </c>
      <c r="F9" s="30" t="s">
        <v>663</v>
      </c>
      <c r="G9" s="30" t="s">
        <v>174</v>
      </c>
      <c r="H9" s="30" t="s">
        <v>664</v>
      </c>
      <c r="I9" s="27" t="s">
        <v>8</v>
      </c>
    </row>
    <row r="10" spans="1:9" ht="28.5" customHeight="1" x14ac:dyDescent="0.3">
      <c r="A10" s="27">
        <v>6</v>
      </c>
      <c r="B10" s="24" t="s">
        <v>654</v>
      </c>
      <c r="C10" s="29" t="s">
        <v>13</v>
      </c>
      <c r="D10" s="29" t="s">
        <v>178</v>
      </c>
      <c r="E10" s="30" t="s">
        <v>179</v>
      </c>
      <c r="F10" s="30" t="s">
        <v>665</v>
      </c>
      <c r="G10" s="30" t="s">
        <v>174</v>
      </c>
      <c r="H10" s="30" t="s">
        <v>666</v>
      </c>
      <c r="I10" s="27" t="s">
        <v>8</v>
      </c>
    </row>
    <row r="11" spans="1:9" ht="28.5" customHeight="1" x14ac:dyDescent="0.3">
      <c r="A11" s="27">
        <v>7</v>
      </c>
      <c r="B11" s="24" t="s">
        <v>654</v>
      </c>
      <c r="C11" s="29" t="s">
        <v>13</v>
      </c>
      <c r="D11" s="29" t="s">
        <v>184</v>
      </c>
      <c r="E11" s="30" t="s">
        <v>185</v>
      </c>
      <c r="F11" s="30" t="s">
        <v>667</v>
      </c>
      <c r="G11" s="30" t="s">
        <v>174</v>
      </c>
      <c r="H11" s="30" t="s">
        <v>668</v>
      </c>
      <c r="I11" s="27" t="s">
        <v>8</v>
      </c>
    </row>
    <row r="12" spans="1:9" ht="28.5" customHeight="1" x14ac:dyDescent="0.3">
      <c r="A12" s="27">
        <v>8</v>
      </c>
      <c r="B12" s="24" t="s">
        <v>654</v>
      </c>
      <c r="C12" s="29" t="s">
        <v>13</v>
      </c>
      <c r="D12" s="29" t="s">
        <v>190</v>
      </c>
      <c r="E12" s="30" t="s">
        <v>197</v>
      </c>
      <c r="F12" s="30" t="s">
        <v>669</v>
      </c>
      <c r="G12" s="30" t="s">
        <v>174</v>
      </c>
      <c r="H12" s="30" t="s">
        <v>670</v>
      </c>
      <c r="I12" s="27" t="s">
        <v>8</v>
      </c>
    </row>
    <row r="13" spans="1:9" ht="28.5" customHeight="1" x14ac:dyDescent="0.3">
      <c r="A13" s="27">
        <v>9</v>
      </c>
      <c r="B13" s="24" t="s">
        <v>654</v>
      </c>
      <c r="C13" s="29" t="s">
        <v>13</v>
      </c>
      <c r="D13" s="29" t="s">
        <v>203</v>
      </c>
      <c r="E13" s="30" t="s">
        <v>671</v>
      </c>
      <c r="F13" s="30" t="s">
        <v>672</v>
      </c>
      <c r="G13" s="30" t="s">
        <v>174</v>
      </c>
      <c r="H13" s="30" t="s">
        <v>673</v>
      </c>
      <c r="I13" s="27" t="s">
        <v>8</v>
      </c>
    </row>
    <row r="14" spans="1:9" ht="28.5" customHeight="1" x14ac:dyDescent="0.3">
      <c r="A14" s="27">
        <v>10</v>
      </c>
      <c r="B14" s="24" t="s">
        <v>654</v>
      </c>
      <c r="C14" s="29" t="s">
        <v>13</v>
      </c>
      <c r="D14" s="29" t="s">
        <v>228</v>
      </c>
      <c r="E14" s="30" t="s">
        <v>229</v>
      </c>
      <c r="F14" s="30" t="s">
        <v>674</v>
      </c>
      <c r="G14" s="30" t="s">
        <v>174</v>
      </c>
      <c r="H14" s="30" t="s">
        <v>675</v>
      </c>
      <c r="I14" s="27" t="s">
        <v>8</v>
      </c>
    </row>
    <row r="15" spans="1:9" ht="28.5" customHeight="1" x14ac:dyDescent="0.3">
      <c r="A15" s="27">
        <v>11</v>
      </c>
      <c r="B15" s="24" t="s">
        <v>676</v>
      </c>
      <c r="C15" s="29" t="s">
        <v>13</v>
      </c>
      <c r="D15" s="29" t="s">
        <v>222</v>
      </c>
      <c r="E15" s="30" t="s">
        <v>223</v>
      </c>
      <c r="F15" s="30" t="s">
        <v>677</v>
      </c>
      <c r="G15" s="30" t="s">
        <v>174</v>
      </c>
      <c r="H15" s="30" t="s">
        <v>678</v>
      </c>
      <c r="I15" s="27" t="s">
        <v>8</v>
      </c>
    </row>
    <row r="16" spans="1:9" ht="28.5" customHeight="1" x14ac:dyDescent="0.3">
      <c r="A16" s="27">
        <v>12</v>
      </c>
      <c r="B16" s="24" t="s">
        <v>676</v>
      </c>
      <c r="C16" s="29" t="s">
        <v>13</v>
      </c>
      <c r="D16" s="29" t="s">
        <v>234</v>
      </c>
      <c r="E16" s="30" t="s">
        <v>235</v>
      </c>
      <c r="F16" s="30" t="s">
        <v>679</v>
      </c>
      <c r="G16" s="30" t="s">
        <v>174</v>
      </c>
      <c r="H16" s="30" t="s">
        <v>680</v>
      </c>
      <c r="I16" s="27" t="s">
        <v>8</v>
      </c>
    </row>
    <row r="17" spans="1:9" ht="28.5" customHeight="1" x14ac:dyDescent="0.3">
      <c r="A17" s="27">
        <v>13</v>
      </c>
      <c r="B17" s="24" t="s">
        <v>676</v>
      </c>
      <c r="C17" s="29" t="s">
        <v>13</v>
      </c>
      <c r="D17" s="29" t="s">
        <v>240</v>
      </c>
      <c r="E17" s="30" t="s">
        <v>241</v>
      </c>
      <c r="F17" s="30" t="s">
        <v>681</v>
      </c>
      <c r="G17" s="30" t="s">
        <v>682</v>
      </c>
      <c r="H17" s="30" t="s">
        <v>683</v>
      </c>
      <c r="I17" s="27" t="s">
        <v>8</v>
      </c>
    </row>
    <row r="18" spans="1:9" ht="28.5" customHeight="1" x14ac:dyDescent="0.3">
      <c r="A18" s="27">
        <v>14</v>
      </c>
      <c r="B18" s="24" t="s">
        <v>676</v>
      </c>
      <c r="C18" s="29" t="s">
        <v>13</v>
      </c>
      <c r="D18" s="29" t="s">
        <v>279</v>
      </c>
      <c r="E18" s="30" t="s">
        <v>280</v>
      </c>
      <c r="F18" s="30" t="s">
        <v>684</v>
      </c>
      <c r="G18" s="30" t="s">
        <v>282</v>
      </c>
      <c r="H18" s="30" t="s">
        <v>685</v>
      </c>
      <c r="I18" s="27" t="s">
        <v>8</v>
      </c>
    </row>
    <row r="19" spans="1:9" ht="28.5" customHeight="1" x14ac:dyDescent="0.3">
      <c r="A19" s="27">
        <v>15</v>
      </c>
      <c r="B19" s="24" t="s">
        <v>686</v>
      </c>
      <c r="C19" s="29" t="s">
        <v>16</v>
      </c>
      <c r="D19" s="29" t="s">
        <v>476</v>
      </c>
      <c r="E19" s="30" t="s">
        <v>477</v>
      </c>
      <c r="F19" s="30" t="s">
        <v>499</v>
      </c>
      <c r="G19" s="30" t="s">
        <v>479</v>
      </c>
      <c r="H19" s="30" t="s">
        <v>687</v>
      </c>
      <c r="I19" s="27" t="s">
        <v>8</v>
      </c>
    </row>
    <row r="20" spans="1:9" ht="28.5" customHeight="1" x14ac:dyDescent="0.3">
      <c r="A20" s="27">
        <v>16</v>
      </c>
      <c r="B20" s="24" t="s">
        <v>686</v>
      </c>
      <c r="C20" s="29" t="s">
        <v>16</v>
      </c>
      <c r="D20" s="29" t="s">
        <v>483</v>
      </c>
      <c r="E20" s="30" t="s">
        <v>484</v>
      </c>
      <c r="F20" s="30" t="s">
        <v>688</v>
      </c>
      <c r="G20" s="30" t="s">
        <v>486</v>
      </c>
      <c r="H20" s="30" t="s">
        <v>487</v>
      </c>
      <c r="I20" s="27" t="s">
        <v>8</v>
      </c>
    </row>
    <row r="21" spans="1:9" ht="28.5" customHeight="1" x14ac:dyDescent="0.3">
      <c r="A21" s="27">
        <v>17</v>
      </c>
      <c r="B21" s="24" t="s">
        <v>686</v>
      </c>
      <c r="C21" s="29" t="s">
        <v>16</v>
      </c>
      <c r="D21" s="29" t="s">
        <v>490</v>
      </c>
      <c r="E21" s="30" t="s">
        <v>491</v>
      </c>
      <c r="F21" s="30" t="s">
        <v>689</v>
      </c>
      <c r="G21" s="30" t="s">
        <v>690</v>
      </c>
      <c r="H21" s="30" t="s">
        <v>263</v>
      </c>
      <c r="I21" s="27" t="s">
        <v>8</v>
      </c>
    </row>
    <row r="22" spans="1:9" ht="28.5" customHeight="1" x14ac:dyDescent="0.3">
      <c r="A22" s="27">
        <v>18</v>
      </c>
      <c r="B22" s="24" t="s">
        <v>686</v>
      </c>
      <c r="C22" s="29" t="s">
        <v>16</v>
      </c>
      <c r="D22" s="29" t="s">
        <v>496</v>
      </c>
      <c r="E22" s="30" t="s">
        <v>497</v>
      </c>
      <c r="F22" s="30" t="s">
        <v>691</v>
      </c>
      <c r="G22" s="30" t="s">
        <v>690</v>
      </c>
      <c r="H22" s="30" t="s">
        <v>692</v>
      </c>
      <c r="I22" s="27" t="s">
        <v>8</v>
      </c>
    </row>
    <row r="23" spans="1:9" ht="28.5" customHeight="1" x14ac:dyDescent="0.3">
      <c r="A23" s="27">
        <v>19</v>
      </c>
      <c r="B23" s="24" t="s">
        <v>686</v>
      </c>
      <c r="C23" s="29" t="s">
        <v>16</v>
      </c>
      <c r="D23" s="29" t="s">
        <v>503</v>
      </c>
      <c r="E23" s="30" t="s">
        <v>504</v>
      </c>
      <c r="F23" s="30" t="s">
        <v>693</v>
      </c>
      <c r="G23" s="30" t="s">
        <v>690</v>
      </c>
      <c r="H23" s="30" t="s">
        <v>694</v>
      </c>
      <c r="I23" s="27" t="s">
        <v>8</v>
      </c>
    </row>
    <row r="24" spans="1:9" ht="28.5" customHeight="1" x14ac:dyDescent="0.3">
      <c r="A24" s="27">
        <v>20</v>
      </c>
      <c r="B24" s="24" t="s">
        <v>686</v>
      </c>
      <c r="C24" s="29" t="s">
        <v>16</v>
      </c>
      <c r="D24" s="29" t="s">
        <v>523</v>
      </c>
      <c r="E24" s="30" t="s">
        <v>524</v>
      </c>
      <c r="F24" s="30" t="s">
        <v>695</v>
      </c>
      <c r="G24" s="30" t="s">
        <v>690</v>
      </c>
      <c r="H24" s="30" t="s">
        <v>696</v>
      </c>
      <c r="I24" s="27" t="s">
        <v>8</v>
      </c>
    </row>
    <row r="25" spans="1:9" ht="28.5" customHeight="1" x14ac:dyDescent="0.3">
      <c r="A25" s="27">
        <v>21</v>
      </c>
      <c r="B25" s="24" t="s">
        <v>686</v>
      </c>
      <c r="C25" s="29" t="s">
        <v>16</v>
      </c>
      <c r="D25" s="29" t="s">
        <v>557</v>
      </c>
      <c r="E25" s="30" t="s">
        <v>558</v>
      </c>
      <c r="F25" s="30" t="s">
        <v>697</v>
      </c>
      <c r="G25" s="30" t="s">
        <v>690</v>
      </c>
      <c r="H25" s="30" t="s">
        <v>698</v>
      </c>
      <c r="I25" s="27" t="s">
        <v>8</v>
      </c>
    </row>
    <row r="26" spans="1:9" ht="28.5" customHeight="1" x14ac:dyDescent="0.3">
      <c r="A26" s="27">
        <v>22</v>
      </c>
      <c r="B26" s="24" t="s">
        <v>686</v>
      </c>
      <c r="C26" s="29" t="s">
        <v>16</v>
      </c>
      <c r="D26" s="29" t="s">
        <v>563</v>
      </c>
      <c r="E26" s="30" t="s">
        <v>564</v>
      </c>
      <c r="F26" s="30" t="s">
        <v>699</v>
      </c>
      <c r="G26" s="30" t="s">
        <v>690</v>
      </c>
      <c r="H26" s="30" t="s">
        <v>700</v>
      </c>
      <c r="I26" s="27" t="s">
        <v>8</v>
      </c>
    </row>
    <row r="27" spans="1:9" ht="28.5" customHeight="1" x14ac:dyDescent="0.3">
      <c r="A27" s="27">
        <v>23</v>
      </c>
      <c r="B27" s="24" t="s">
        <v>686</v>
      </c>
      <c r="C27" s="29" t="s">
        <v>16</v>
      </c>
      <c r="D27" s="29" t="s">
        <v>569</v>
      </c>
      <c r="E27" s="30" t="s">
        <v>570</v>
      </c>
      <c r="F27" s="30" t="s">
        <v>701</v>
      </c>
      <c r="G27" s="30" t="s">
        <v>690</v>
      </c>
      <c r="H27" s="30" t="s">
        <v>702</v>
      </c>
      <c r="I27" s="27" t="s">
        <v>8</v>
      </c>
    </row>
    <row r="28" spans="1:9" ht="28.5" customHeight="1" x14ac:dyDescent="0.3">
      <c r="A28" s="27">
        <v>24</v>
      </c>
      <c r="B28" s="24" t="s">
        <v>686</v>
      </c>
      <c r="C28" s="29" t="s">
        <v>16</v>
      </c>
      <c r="D28" s="29" t="s">
        <v>575</v>
      </c>
      <c r="E28" s="30" t="s">
        <v>576</v>
      </c>
      <c r="F28" s="30" t="s">
        <v>703</v>
      </c>
      <c r="G28" s="30" t="s">
        <v>704</v>
      </c>
      <c r="H28" s="30" t="s">
        <v>705</v>
      </c>
      <c r="I28" s="27" t="s">
        <v>8</v>
      </c>
    </row>
    <row r="29" spans="1:9" ht="28.5" customHeight="1" x14ac:dyDescent="0.3">
      <c r="A29" s="27">
        <v>25</v>
      </c>
      <c r="B29" s="24" t="s">
        <v>686</v>
      </c>
      <c r="C29" s="29" t="s">
        <v>16</v>
      </c>
      <c r="D29" s="29" t="s">
        <v>589</v>
      </c>
      <c r="E29" s="30" t="s">
        <v>706</v>
      </c>
      <c r="F29" s="30" t="s">
        <v>707</v>
      </c>
      <c r="G29" s="30" t="s">
        <v>592</v>
      </c>
      <c r="H29" s="30" t="s">
        <v>708</v>
      </c>
      <c r="I29" s="27" t="s">
        <v>8</v>
      </c>
    </row>
    <row r="30" spans="1:9" ht="28.5" customHeight="1" x14ac:dyDescent="0.3">
      <c r="A30" s="27">
        <v>26</v>
      </c>
      <c r="B30" s="24" t="s">
        <v>709</v>
      </c>
      <c r="C30" s="29" t="s">
        <v>14</v>
      </c>
      <c r="D30" s="29" t="s">
        <v>293</v>
      </c>
      <c r="E30" s="30" t="s">
        <v>710</v>
      </c>
      <c r="F30" s="30" t="s">
        <v>711</v>
      </c>
      <c r="G30" s="30" t="s">
        <v>296</v>
      </c>
      <c r="H30" s="30" t="s">
        <v>712</v>
      </c>
      <c r="I30" s="27" t="s">
        <v>8</v>
      </c>
    </row>
    <row r="31" spans="1:9" ht="28.5" customHeight="1" x14ac:dyDescent="0.3">
      <c r="A31" s="27">
        <v>27</v>
      </c>
      <c r="B31" s="24" t="s">
        <v>709</v>
      </c>
      <c r="C31" s="29" t="s">
        <v>14</v>
      </c>
      <c r="D31" s="29" t="s">
        <v>307</v>
      </c>
      <c r="E31" s="30" t="s">
        <v>713</v>
      </c>
      <c r="F31" s="30" t="s">
        <v>714</v>
      </c>
      <c r="G31" s="30" t="s">
        <v>715</v>
      </c>
      <c r="H31" s="30" t="s">
        <v>716</v>
      </c>
      <c r="I31" s="27" t="s">
        <v>8</v>
      </c>
    </row>
    <row r="32" spans="1:9" ht="28.5" customHeight="1" x14ac:dyDescent="0.3">
      <c r="A32" s="27">
        <v>28</v>
      </c>
      <c r="B32" s="24" t="s">
        <v>709</v>
      </c>
      <c r="C32" s="29" t="s">
        <v>14</v>
      </c>
      <c r="D32" s="29" t="s">
        <v>308</v>
      </c>
      <c r="E32" s="30" t="s">
        <v>717</v>
      </c>
      <c r="F32" s="30" t="s">
        <v>718</v>
      </c>
      <c r="G32" s="30" t="s">
        <v>719</v>
      </c>
      <c r="H32" s="30" t="s">
        <v>720</v>
      </c>
      <c r="I32" s="27" t="s">
        <v>8</v>
      </c>
    </row>
    <row r="33" spans="1:9" ht="28.5" customHeight="1" x14ac:dyDescent="0.3">
      <c r="A33" s="27">
        <v>29</v>
      </c>
      <c r="B33" s="24" t="s">
        <v>709</v>
      </c>
      <c r="C33" s="29" t="s">
        <v>14</v>
      </c>
      <c r="D33" s="29" t="s">
        <v>312</v>
      </c>
      <c r="E33" s="30" t="s">
        <v>721</v>
      </c>
      <c r="F33" s="30" t="s">
        <v>722</v>
      </c>
      <c r="G33" s="30" t="s">
        <v>723</v>
      </c>
      <c r="H33" s="30" t="s">
        <v>329</v>
      </c>
      <c r="I33" s="27" t="s">
        <v>8</v>
      </c>
    </row>
    <row r="34" spans="1:9" ht="28.5" customHeight="1" x14ac:dyDescent="0.3">
      <c r="A34" s="27">
        <v>30</v>
      </c>
      <c r="B34" s="24" t="s">
        <v>709</v>
      </c>
      <c r="C34" s="29" t="s">
        <v>14</v>
      </c>
      <c r="D34" s="29" t="s">
        <v>325</v>
      </c>
      <c r="E34" s="30" t="s">
        <v>724</v>
      </c>
      <c r="F34" s="30" t="s">
        <v>725</v>
      </c>
      <c r="G34" s="30" t="s">
        <v>726</v>
      </c>
      <c r="H34" s="30" t="s">
        <v>329</v>
      </c>
      <c r="I34" s="27" t="s">
        <v>8</v>
      </c>
    </row>
    <row r="35" spans="1:9" ht="28.5" customHeight="1" x14ac:dyDescent="0.3">
      <c r="A35" s="27">
        <v>31</v>
      </c>
      <c r="B35" s="24" t="s">
        <v>727</v>
      </c>
      <c r="C35" s="29" t="s">
        <v>15</v>
      </c>
      <c r="D35" s="29" t="s">
        <v>350</v>
      </c>
      <c r="E35" s="30" t="s">
        <v>728</v>
      </c>
      <c r="F35" s="30" t="s">
        <v>729</v>
      </c>
      <c r="G35" s="30" t="s">
        <v>353</v>
      </c>
      <c r="H35" s="30" t="s">
        <v>730</v>
      </c>
      <c r="I35" s="27" t="s">
        <v>8</v>
      </c>
    </row>
    <row r="36" spans="1:9" ht="28.5" customHeight="1" x14ac:dyDescent="0.3">
      <c r="A36" s="27">
        <v>32</v>
      </c>
      <c r="B36" s="24" t="s">
        <v>727</v>
      </c>
      <c r="C36" s="29" t="s">
        <v>15</v>
      </c>
      <c r="D36" s="29" t="s">
        <v>447</v>
      </c>
      <c r="E36" s="30" t="s">
        <v>731</v>
      </c>
      <c r="F36" s="30" t="s">
        <v>732</v>
      </c>
      <c r="G36" s="30" t="s">
        <v>733</v>
      </c>
      <c r="H36" s="30" t="s">
        <v>734</v>
      </c>
      <c r="I36" s="27" t="s">
        <v>8</v>
      </c>
    </row>
    <row r="37" spans="1:9" ht="28.5" customHeight="1" x14ac:dyDescent="0.3">
      <c r="A37" s="27">
        <v>33</v>
      </c>
      <c r="B37" s="24" t="s">
        <v>727</v>
      </c>
      <c r="C37" s="29" t="s">
        <v>15</v>
      </c>
      <c r="D37" s="29" t="s">
        <v>363</v>
      </c>
      <c r="E37" s="30" t="s">
        <v>364</v>
      </c>
      <c r="F37" s="30" t="s">
        <v>735</v>
      </c>
      <c r="G37" s="30" t="s">
        <v>366</v>
      </c>
      <c r="H37" s="30" t="s">
        <v>367</v>
      </c>
      <c r="I37" s="27" t="s">
        <v>8</v>
      </c>
    </row>
    <row r="38" spans="1:9" ht="28.5" customHeight="1" x14ac:dyDescent="0.3">
      <c r="A38" s="27">
        <v>34</v>
      </c>
      <c r="B38" s="24" t="s">
        <v>727</v>
      </c>
      <c r="C38" s="29" t="s">
        <v>15</v>
      </c>
      <c r="D38" s="29" t="s">
        <v>370</v>
      </c>
      <c r="E38" s="30" t="s">
        <v>736</v>
      </c>
      <c r="F38" s="30" t="s">
        <v>737</v>
      </c>
      <c r="G38" s="30" t="s">
        <v>738</v>
      </c>
      <c r="H38" s="30" t="s">
        <v>520</v>
      </c>
      <c r="I38" s="27" t="s">
        <v>8</v>
      </c>
    </row>
    <row r="39" spans="1:9" ht="28.5" customHeight="1" x14ac:dyDescent="0.3">
      <c r="A39" s="27">
        <v>35</v>
      </c>
      <c r="B39" s="24" t="s">
        <v>727</v>
      </c>
      <c r="C39" s="29" t="s">
        <v>15</v>
      </c>
      <c r="D39" s="29" t="s">
        <v>377</v>
      </c>
      <c r="E39" s="30" t="s">
        <v>739</v>
      </c>
      <c r="F39" s="30" t="s">
        <v>740</v>
      </c>
      <c r="G39" s="30" t="s">
        <v>380</v>
      </c>
      <c r="H39" s="30" t="s">
        <v>741</v>
      </c>
      <c r="I39" s="27" t="s">
        <v>8</v>
      </c>
    </row>
    <row r="40" spans="1:9" ht="28.5" customHeight="1" x14ac:dyDescent="0.3">
      <c r="A40" s="27">
        <v>36</v>
      </c>
      <c r="B40" s="24" t="s">
        <v>727</v>
      </c>
      <c r="C40" s="29" t="s">
        <v>15</v>
      </c>
      <c r="D40" s="29" t="s">
        <v>384</v>
      </c>
      <c r="E40" s="30" t="s">
        <v>385</v>
      </c>
      <c r="F40" s="30" t="s">
        <v>742</v>
      </c>
      <c r="G40" s="30" t="s">
        <v>743</v>
      </c>
      <c r="H40" s="30" t="s">
        <v>744</v>
      </c>
      <c r="I40" s="27" t="s">
        <v>8</v>
      </c>
    </row>
    <row r="41" spans="1:9" ht="28.5" customHeight="1" x14ac:dyDescent="0.3">
      <c r="A41" s="27">
        <v>37</v>
      </c>
      <c r="B41" s="24" t="s">
        <v>727</v>
      </c>
      <c r="C41" s="29" t="s">
        <v>15</v>
      </c>
      <c r="D41" s="29" t="s">
        <v>399</v>
      </c>
      <c r="E41" s="30" t="s">
        <v>400</v>
      </c>
      <c r="F41" s="30" t="s">
        <v>745</v>
      </c>
      <c r="G41" s="30" t="s">
        <v>746</v>
      </c>
      <c r="H41" s="30" t="s">
        <v>747</v>
      </c>
      <c r="I41" s="27" t="s">
        <v>8</v>
      </c>
    </row>
    <row r="42" spans="1:9" ht="28.5" customHeight="1" x14ac:dyDescent="0.3">
      <c r="A42" s="27">
        <v>38</v>
      </c>
      <c r="B42" s="24" t="s">
        <v>727</v>
      </c>
      <c r="C42" s="29" t="s">
        <v>15</v>
      </c>
      <c r="D42" s="29" t="s">
        <v>413</v>
      </c>
      <c r="E42" s="30" t="s">
        <v>748</v>
      </c>
      <c r="F42" s="30" t="s">
        <v>749</v>
      </c>
      <c r="G42" s="30" t="s">
        <v>750</v>
      </c>
      <c r="H42" s="30" t="s">
        <v>417</v>
      </c>
      <c r="I42" s="27" t="s">
        <v>8</v>
      </c>
    </row>
    <row r="43" spans="1:9" ht="28.5" customHeight="1" x14ac:dyDescent="0.3">
      <c r="A43" s="27">
        <v>39</v>
      </c>
      <c r="B43" s="24" t="s">
        <v>727</v>
      </c>
      <c r="C43" s="29" t="s">
        <v>15</v>
      </c>
      <c r="D43" s="29" t="s">
        <v>420</v>
      </c>
      <c r="E43" s="30" t="s">
        <v>421</v>
      </c>
      <c r="F43" s="30" t="s">
        <v>751</v>
      </c>
      <c r="G43" s="30" t="s">
        <v>752</v>
      </c>
      <c r="H43" s="30" t="s">
        <v>753</v>
      </c>
      <c r="I43" s="27" t="s">
        <v>8</v>
      </c>
    </row>
    <row r="44" spans="1:9" ht="28.5" customHeight="1" x14ac:dyDescent="0.3">
      <c r="A44" s="27">
        <v>40</v>
      </c>
      <c r="B44" s="24" t="s">
        <v>727</v>
      </c>
      <c r="C44" s="29" t="s">
        <v>15</v>
      </c>
      <c r="D44" s="29" t="s">
        <v>427</v>
      </c>
      <c r="E44" s="30" t="s">
        <v>754</v>
      </c>
      <c r="F44" s="30" t="s">
        <v>755</v>
      </c>
      <c r="G44" s="30" t="s">
        <v>756</v>
      </c>
      <c r="H44" s="30" t="s">
        <v>263</v>
      </c>
      <c r="I44" s="27" t="s">
        <v>8</v>
      </c>
    </row>
    <row r="45" spans="1:9" ht="28.5" customHeight="1" x14ac:dyDescent="0.3">
      <c r="A45" s="27">
        <v>41</v>
      </c>
      <c r="B45" s="24" t="s">
        <v>757</v>
      </c>
      <c r="C45" s="29" t="s">
        <v>16</v>
      </c>
      <c r="D45" s="29" t="s">
        <v>529</v>
      </c>
      <c r="E45" s="30" t="s">
        <v>530</v>
      </c>
      <c r="F45" s="30" t="s">
        <v>758</v>
      </c>
      <c r="G45" s="30" t="s">
        <v>759</v>
      </c>
      <c r="H45" s="30" t="s">
        <v>760</v>
      </c>
      <c r="I45" s="27" t="s">
        <v>8</v>
      </c>
    </row>
    <row r="46" spans="1:9" ht="28.5" customHeight="1" x14ac:dyDescent="0.3">
      <c r="A46" s="27">
        <v>42</v>
      </c>
      <c r="B46" s="24" t="s">
        <v>757</v>
      </c>
      <c r="C46" s="29" t="s">
        <v>16</v>
      </c>
      <c r="D46" s="29" t="s">
        <v>536</v>
      </c>
      <c r="E46" s="30" t="s">
        <v>761</v>
      </c>
      <c r="F46" s="30" t="s">
        <v>762</v>
      </c>
      <c r="G46" s="30" t="s">
        <v>763</v>
      </c>
      <c r="H46" s="30" t="s">
        <v>540</v>
      </c>
      <c r="I46" s="27" t="s">
        <v>8</v>
      </c>
    </row>
    <row r="47" spans="1:9" ht="28.5" customHeight="1" x14ac:dyDescent="0.3">
      <c r="A47" s="27">
        <v>43</v>
      </c>
      <c r="B47" s="24" t="s">
        <v>757</v>
      </c>
      <c r="C47" s="29" t="s">
        <v>16</v>
      </c>
      <c r="D47" s="29" t="s">
        <v>543</v>
      </c>
      <c r="E47" s="30" t="s">
        <v>764</v>
      </c>
      <c r="F47" s="30" t="s">
        <v>765</v>
      </c>
      <c r="G47" s="30" t="s">
        <v>763</v>
      </c>
      <c r="H47" s="30" t="s">
        <v>547</v>
      </c>
      <c r="I47" s="27" t="s">
        <v>8</v>
      </c>
    </row>
    <row r="48" spans="1:9" ht="28.5" customHeight="1" x14ac:dyDescent="0.3">
      <c r="A48" s="27">
        <v>44</v>
      </c>
      <c r="B48" s="24" t="s">
        <v>757</v>
      </c>
      <c r="C48" s="29" t="s">
        <v>16</v>
      </c>
      <c r="D48" s="29" t="s">
        <v>550</v>
      </c>
      <c r="E48" s="30" t="s">
        <v>551</v>
      </c>
      <c r="F48" s="30" t="s">
        <v>766</v>
      </c>
      <c r="G48" s="30" t="s">
        <v>767</v>
      </c>
      <c r="H48" s="30" t="s">
        <v>768</v>
      </c>
      <c r="I48" s="27" t="s">
        <v>8</v>
      </c>
    </row>
    <row r="49" spans="1:9" ht="28.5" customHeight="1" x14ac:dyDescent="0.3">
      <c r="A49" s="27">
        <v>45</v>
      </c>
      <c r="B49" s="24" t="s">
        <v>757</v>
      </c>
      <c r="C49" s="29" t="s">
        <v>16</v>
      </c>
      <c r="D49" s="29" t="s">
        <v>582</v>
      </c>
      <c r="E49" s="30" t="s">
        <v>769</v>
      </c>
      <c r="F49" s="30" t="s">
        <v>770</v>
      </c>
      <c r="G49" s="30" t="s">
        <v>771</v>
      </c>
      <c r="H49" s="30" t="s">
        <v>772</v>
      </c>
      <c r="I49" s="27" t="s">
        <v>8</v>
      </c>
    </row>
    <row r="50" spans="1:9" ht="28.5" customHeight="1" x14ac:dyDescent="0.3">
      <c r="A50" s="27">
        <v>46</v>
      </c>
      <c r="B50" s="24" t="s">
        <v>757</v>
      </c>
      <c r="C50" s="29" t="s">
        <v>16</v>
      </c>
      <c r="D50" s="29" t="s">
        <v>635</v>
      </c>
      <c r="E50" s="30" t="s">
        <v>773</v>
      </c>
      <c r="F50" s="30" t="s">
        <v>774</v>
      </c>
      <c r="G50" s="30" t="s">
        <v>775</v>
      </c>
      <c r="H50" s="30" t="s">
        <v>776</v>
      </c>
      <c r="I50" s="27" t="s">
        <v>8</v>
      </c>
    </row>
    <row r="51" spans="1:9" ht="28.5" customHeight="1" x14ac:dyDescent="0.3">
      <c r="A51" s="27">
        <v>47</v>
      </c>
      <c r="B51" s="24" t="s">
        <v>777</v>
      </c>
      <c r="C51" s="29" t="s">
        <v>15</v>
      </c>
      <c r="D51" s="29" t="s">
        <v>454</v>
      </c>
      <c r="E51" s="30" t="s">
        <v>455</v>
      </c>
      <c r="F51" s="30" t="s">
        <v>778</v>
      </c>
      <c r="G51" s="30" t="s">
        <v>779</v>
      </c>
      <c r="H51" s="30" t="s">
        <v>780</v>
      </c>
      <c r="I51" s="27" t="s">
        <v>8</v>
      </c>
    </row>
    <row r="52" spans="1:9" ht="28.5" customHeight="1" x14ac:dyDescent="0.3">
      <c r="A52" s="27">
        <v>48</v>
      </c>
      <c r="B52" s="24" t="s">
        <v>777</v>
      </c>
      <c r="C52" s="29" t="s">
        <v>15</v>
      </c>
      <c r="D52" s="29" t="s">
        <v>468</v>
      </c>
      <c r="E52" s="30" t="s">
        <v>469</v>
      </c>
      <c r="F52" s="30" t="s">
        <v>781</v>
      </c>
      <c r="G52" s="30" t="s">
        <v>782</v>
      </c>
      <c r="H52" s="30" t="s">
        <v>783</v>
      </c>
      <c r="I52" s="27" t="s">
        <v>8</v>
      </c>
    </row>
    <row r="53" spans="1:9" ht="28.5" customHeight="1" x14ac:dyDescent="0.3">
      <c r="A53" s="27">
        <v>49</v>
      </c>
      <c r="B53" s="24" t="s">
        <v>777</v>
      </c>
      <c r="C53" s="29" t="s">
        <v>15</v>
      </c>
      <c r="D53" s="29" t="s">
        <v>440</v>
      </c>
      <c r="E53" s="30" t="s">
        <v>784</v>
      </c>
      <c r="F53" s="30" t="s">
        <v>785</v>
      </c>
      <c r="G53" s="30" t="s">
        <v>786</v>
      </c>
      <c r="H53" s="30" t="s">
        <v>787</v>
      </c>
      <c r="I53" s="27" t="s">
        <v>8</v>
      </c>
    </row>
    <row r="54" spans="1:9" ht="28.5" customHeight="1" x14ac:dyDescent="0.3">
      <c r="A54" s="27">
        <v>50</v>
      </c>
      <c r="B54" s="24" t="s">
        <v>777</v>
      </c>
      <c r="C54" s="29" t="s">
        <v>15</v>
      </c>
      <c r="D54" s="29" t="s">
        <v>433</v>
      </c>
      <c r="E54" s="30" t="s">
        <v>434</v>
      </c>
      <c r="F54" s="30" t="s">
        <v>788</v>
      </c>
      <c r="G54" s="30" t="s">
        <v>789</v>
      </c>
      <c r="H54" s="30" t="s">
        <v>437</v>
      </c>
      <c r="I54" s="27" t="s">
        <v>8</v>
      </c>
    </row>
    <row r="55" spans="1:9" ht="28.5" customHeight="1" x14ac:dyDescent="0.3">
      <c r="A55" s="27">
        <v>51</v>
      </c>
      <c r="B55" s="24" t="s">
        <v>790</v>
      </c>
      <c r="C55" s="29" t="s">
        <v>13</v>
      </c>
      <c r="D55" s="29" t="s">
        <v>131</v>
      </c>
      <c r="E55" s="30" t="s">
        <v>132</v>
      </c>
      <c r="F55" s="30" t="s">
        <v>791</v>
      </c>
      <c r="G55" s="30" t="s">
        <v>339</v>
      </c>
      <c r="H55" s="30" t="s">
        <v>792</v>
      </c>
      <c r="I55" s="27" t="s">
        <v>8</v>
      </c>
    </row>
    <row r="56" spans="1:9" ht="28.5" customHeight="1" x14ac:dyDescent="0.3">
      <c r="A56" s="27">
        <v>52</v>
      </c>
      <c r="B56" s="24" t="s">
        <v>790</v>
      </c>
      <c r="C56" s="29" t="s">
        <v>13</v>
      </c>
      <c r="D56" s="29" t="s">
        <v>247</v>
      </c>
      <c r="E56" s="30" t="s">
        <v>248</v>
      </c>
      <c r="F56" s="30" t="s">
        <v>793</v>
      </c>
      <c r="G56" s="30" t="s">
        <v>794</v>
      </c>
      <c r="H56" s="30" t="s">
        <v>340</v>
      </c>
      <c r="I56" s="27" t="s">
        <v>8</v>
      </c>
    </row>
    <row r="57" spans="1:9" ht="28.5" customHeight="1" x14ac:dyDescent="0.3">
      <c r="A57" s="27">
        <v>53</v>
      </c>
      <c r="B57" s="24" t="s">
        <v>790</v>
      </c>
      <c r="C57" s="29" t="s">
        <v>13</v>
      </c>
      <c r="D57" s="29" t="s">
        <v>215</v>
      </c>
      <c r="E57" s="30" t="s">
        <v>216</v>
      </c>
      <c r="F57" s="30" t="s">
        <v>795</v>
      </c>
      <c r="G57" s="30" t="s">
        <v>796</v>
      </c>
      <c r="H57" s="30" t="s">
        <v>797</v>
      </c>
      <c r="I57" s="27" t="s">
        <v>8</v>
      </c>
    </row>
    <row r="58" spans="1:9" ht="28.5" customHeight="1" x14ac:dyDescent="0.3">
      <c r="A58" s="27">
        <v>54</v>
      </c>
      <c r="B58" s="24" t="s">
        <v>790</v>
      </c>
      <c r="C58" s="29" t="s">
        <v>14</v>
      </c>
      <c r="D58" s="29" t="s">
        <v>336</v>
      </c>
      <c r="E58" s="30" t="s">
        <v>337</v>
      </c>
      <c r="F58" s="30" t="s">
        <v>798</v>
      </c>
      <c r="G58" s="30" t="s">
        <v>794</v>
      </c>
      <c r="H58" s="30" t="s">
        <v>340</v>
      </c>
      <c r="I58" s="27" t="s">
        <v>8</v>
      </c>
    </row>
    <row r="59" spans="1:9" ht="28.5" customHeight="1" x14ac:dyDescent="0.3">
      <c r="A59" s="27">
        <v>55</v>
      </c>
      <c r="B59" s="24" t="s">
        <v>790</v>
      </c>
      <c r="C59" s="29" t="s">
        <v>13</v>
      </c>
      <c r="D59" s="29" t="s">
        <v>266</v>
      </c>
      <c r="E59" s="30" t="s">
        <v>267</v>
      </c>
      <c r="F59" s="30" t="s">
        <v>799</v>
      </c>
      <c r="G59" s="30" t="s">
        <v>800</v>
      </c>
      <c r="H59" s="30" t="s">
        <v>801</v>
      </c>
      <c r="I59" s="27" t="s">
        <v>8</v>
      </c>
    </row>
    <row r="60" spans="1:9" ht="28.5" customHeight="1" x14ac:dyDescent="0.3">
      <c r="A60" s="27">
        <v>56</v>
      </c>
      <c r="B60" s="24" t="s">
        <v>790</v>
      </c>
      <c r="C60" s="29" t="s">
        <v>13</v>
      </c>
      <c r="D60" s="29" t="s">
        <v>273</v>
      </c>
      <c r="E60" s="30" t="s">
        <v>802</v>
      </c>
      <c r="F60" s="30" t="s">
        <v>803</v>
      </c>
      <c r="G60" s="30" t="s">
        <v>804</v>
      </c>
      <c r="H60" s="30" t="s">
        <v>805</v>
      </c>
      <c r="I60" s="27" t="s">
        <v>8</v>
      </c>
    </row>
    <row r="61" spans="1:9" x14ac:dyDescent="0.3">
      <c r="A61" s="33"/>
      <c r="B61" s="34"/>
      <c r="C61" s="33"/>
      <c r="D61" s="33"/>
      <c r="E61" s="34"/>
      <c r="F61" s="34"/>
      <c r="G61" s="34"/>
      <c r="H61" s="34"/>
      <c r="I61" s="34"/>
    </row>
    <row r="62" spans="1:9" x14ac:dyDescent="0.3">
      <c r="A62" s="33"/>
      <c r="B62" s="34"/>
      <c r="C62" s="33"/>
      <c r="D62" s="33"/>
      <c r="E62" s="34"/>
      <c r="F62" s="34"/>
      <c r="G62" s="34"/>
      <c r="H62" s="34"/>
      <c r="I62" s="34"/>
    </row>
    <row r="63" spans="1:9" x14ac:dyDescent="0.3">
      <c r="A63" s="33"/>
      <c r="B63" s="34"/>
      <c r="C63" s="33"/>
      <c r="D63" s="33"/>
      <c r="E63" s="34"/>
      <c r="F63" s="34"/>
      <c r="G63" s="34"/>
      <c r="H63" s="34"/>
      <c r="I63" s="34"/>
    </row>
    <row r="64" spans="1:9" x14ac:dyDescent="0.3">
      <c r="A64" s="33"/>
      <c r="B64" s="34"/>
      <c r="C64" s="33"/>
      <c r="D64" s="33"/>
      <c r="E64" s="34"/>
      <c r="F64" s="34"/>
      <c r="G64" s="34"/>
      <c r="H64" s="34"/>
      <c r="I64" s="34"/>
    </row>
    <row r="65" spans="1:9" x14ac:dyDescent="0.3">
      <c r="A65" s="33"/>
      <c r="B65" s="34"/>
      <c r="C65" s="33"/>
      <c r="D65" s="33"/>
      <c r="E65" s="34"/>
      <c r="F65" s="34"/>
      <c r="G65" s="34"/>
      <c r="H65" s="34"/>
      <c r="I65" s="34"/>
    </row>
    <row r="66" spans="1:9" x14ac:dyDescent="0.3">
      <c r="A66" s="33"/>
      <c r="B66" s="34"/>
      <c r="C66" s="33"/>
      <c r="D66" s="33"/>
      <c r="E66" s="34"/>
      <c r="F66" s="34"/>
      <c r="G66" s="34"/>
      <c r="H66" s="34"/>
      <c r="I66" s="34"/>
    </row>
    <row r="67" spans="1:9" x14ac:dyDescent="0.3">
      <c r="A67" s="33"/>
      <c r="B67" s="34"/>
      <c r="C67" s="33"/>
      <c r="D67" s="33"/>
      <c r="E67" s="34"/>
      <c r="F67" s="34"/>
      <c r="G67" s="34"/>
      <c r="H67" s="34"/>
      <c r="I67" s="34"/>
    </row>
    <row r="68" spans="1:9" x14ac:dyDescent="0.3">
      <c r="A68" s="33"/>
      <c r="B68" s="34"/>
      <c r="C68" s="33"/>
      <c r="D68" s="33"/>
      <c r="E68" s="34"/>
      <c r="F68" s="34"/>
      <c r="G68" s="34"/>
      <c r="H68" s="34"/>
      <c r="I68" s="34"/>
    </row>
    <row r="69" spans="1:9" x14ac:dyDescent="0.3">
      <c r="A69" s="33"/>
      <c r="B69" s="34"/>
      <c r="C69" s="33"/>
      <c r="D69" s="33"/>
      <c r="E69" s="34"/>
      <c r="F69" s="34"/>
      <c r="G69" s="34"/>
      <c r="H69" s="34"/>
      <c r="I69" s="34"/>
    </row>
    <row r="70" spans="1:9" x14ac:dyDescent="0.3">
      <c r="A70" s="33"/>
      <c r="B70" s="34"/>
      <c r="C70" s="33"/>
      <c r="D70" s="33"/>
      <c r="E70" s="34"/>
      <c r="F70" s="34"/>
      <c r="G70" s="34"/>
      <c r="H70" s="34"/>
      <c r="I70" s="34"/>
    </row>
    <row r="71" spans="1:9" x14ac:dyDescent="0.3">
      <c r="A71" s="33"/>
      <c r="B71" s="34"/>
      <c r="C71" s="33"/>
      <c r="D71" s="33"/>
      <c r="E71" s="34"/>
      <c r="F71" s="34"/>
      <c r="G71" s="34"/>
      <c r="H71" s="34"/>
      <c r="I71" s="34"/>
    </row>
    <row r="72" spans="1:9" x14ac:dyDescent="0.3">
      <c r="A72" s="33"/>
      <c r="B72" s="34"/>
      <c r="C72" s="33"/>
      <c r="D72" s="33"/>
      <c r="E72" s="34"/>
      <c r="F72" s="34"/>
      <c r="G72" s="34"/>
      <c r="H72" s="34"/>
      <c r="I72" s="34"/>
    </row>
    <row r="73" spans="1:9" x14ac:dyDescent="0.3">
      <c r="A73" s="33"/>
      <c r="B73" s="34"/>
      <c r="C73" s="33"/>
      <c r="D73" s="33"/>
      <c r="E73" s="34"/>
      <c r="F73" s="34"/>
      <c r="G73" s="34"/>
      <c r="H73" s="34"/>
      <c r="I73" s="34"/>
    </row>
    <row r="74" spans="1:9" x14ac:dyDescent="0.3">
      <c r="A74" s="33"/>
      <c r="B74" s="34"/>
      <c r="C74" s="33"/>
      <c r="D74" s="33"/>
      <c r="E74" s="34"/>
      <c r="F74" s="34"/>
      <c r="G74" s="34"/>
      <c r="H74" s="34"/>
      <c r="I74" s="34"/>
    </row>
    <row r="75" spans="1:9" x14ac:dyDescent="0.3">
      <c r="A75" s="33"/>
      <c r="B75" s="34"/>
      <c r="C75" s="33"/>
      <c r="D75" s="33"/>
      <c r="E75" s="34"/>
      <c r="F75" s="34"/>
      <c r="G75" s="34"/>
      <c r="H75" s="34"/>
      <c r="I75" s="34"/>
    </row>
  </sheetData>
  <autoFilter ref="A4:I4" xr:uid="{00000000-0009-0000-0000-000008000000}"/>
  <mergeCells count="2">
    <mergeCell ref="A1:I1"/>
    <mergeCell ref="A2:I2"/>
  </mergeCells>
  <dataValidations count="2">
    <dataValidation type="list" sqref="I5:I75" xr:uid="{00000000-0002-0000-0800-000000000000}">
      <formula1>"Not Run,Pass,Fail,Blocked,N/A"</formula1>
    </dataValidation>
    <dataValidation type="list" allowBlank="1" sqref="I5 I6 I7 I8 I9 I10 I11 I12 I13 I14 I15 I16 I17 I18 I19 I20 I21 I22 I23 I24 I25 I26 I27 I28 I29 I30 I31 I32 I33 I34 I35 I36 I37 I38 I39 I40 I41 I42 I43 I44 I45 I46 I47 I48 I49 I50 I51 I52 I53 I54 I55 I56 I57 I58 I59 I60" xr:uid="{00000000-0002-0000-0800-000001000000}">
      <formula1>"Not Run,Pass,Fail,Blocked,N/A"</formula1>
    </dataValidation>
  </dataValidations>
  <pageMargins left="0.75" right="0.75" top="1" bottom="1" header="0.5" footer="0.5"/>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9"/>
  <sheetViews>
    <sheetView workbookViewId="0">
      <pane ySplit="4" topLeftCell="A5" activePane="bottomLeft" state="frozen"/>
      <selection pane="bottomLeft" sqref="A1:G1"/>
    </sheetView>
  </sheetViews>
  <sheetFormatPr defaultRowHeight="14.4" x14ac:dyDescent="0.3"/>
  <cols>
    <col min="1" max="1" width="6" customWidth="1"/>
    <col min="2" max="2" width="22" customWidth="1"/>
    <col min="3" max="3" width="42" customWidth="1"/>
    <col min="4" max="4" width="30" customWidth="1"/>
    <col min="5" max="6" width="12" customWidth="1"/>
    <col min="7" max="7" width="34" customWidth="1"/>
  </cols>
  <sheetData>
    <row r="1" spans="1:7" ht="28.05" customHeight="1" x14ac:dyDescent="0.3">
      <c r="A1" s="45" t="s">
        <v>806</v>
      </c>
      <c r="B1" s="40"/>
      <c r="C1" s="40"/>
      <c r="D1" s="40"/>
      <c r="E1" s="40"/>
      <c r="F1" s="40"/>
      <c r="G1" s="40"/>
    </row>
    <row r="2" spans="1:7" ht="37.950000000000003" customHeight="1" x14ac:dyDescent="0.3">
      <c r="A2" s="46" t="s">
        <v>807</v>
      </c>
      <c r="B2" s="40"/>
      <c r="C2" s="40"/>
      <c r="D2" s="40"/>
      <c r="E2" s="40"/>
      <c r="F2" s="40"/>
      <c r="G2" s="40"/>
    </row>
    <row r="3" spans="1:7" x14ac:dyDescent="0.3">
      <c r="A3" s="13"/>
      <c r="B3" s="13"/>
      <c r="C3" s="13"/>
      <c r="D3" s="13"/>
      <c r="E3" s="13"/>
      <c r="F3" s="13"/>
      <c r="G3" s="13"/>
    </row>
    <row r="4" spans="1:7" x14ac:dyDescent="0.3">
      <c r="A4" s="32" t="s">
        <v>808</v>
      </c>
      <c r="B4" s="32" t="s">
        <v>809</v>
      </c>
      <c r="C4" s="32" t="s">
        <v>810</v>
      </c>
      <c r="D4" s="32" t="s">
        <v>811</v>
      </c>
      <c r="E4" s="32" t="s">
        <v>812</v>
      </c>
      <c r="F4" s="32" t="s">
        <v>2</v>
      </c>
      <c r="G4" s="32" t="s">
        <v>71</v>
      </c>
    </row>
    <row r="5" spans="1:7" ht="36" customHeight="1" x14ac:dyDescent="0.3">
      <c r="A5" s="27">
        <v>1</v>
      </c>
      <c r="B5" s="30" t="s">
        <v>813</v>
      </c>
      <c r="C5" s="30" t="s">
        <v>814</v>
      </c>
      <c r="D5" s="30" t="s">
        <v>815</v>
      </c>
      <c r="E5" s="27" t="s">
        <v>816</v>
      </c>
      <c r="F5" s="27" t="s">
        <v>8</v>
      </c>
      <c r="G5" s="30" t="s">
        <v>817</v>
      </c>
    </row>
    <row r="6" spans="1:7" ht="28.5" customHeight="1" x14ac:dyDescent="0.3">
      <c r="A6" s="27">
        <v>2</v>
      </c>
      <c r="B6" s="30" t="s">
        <v>172</v>
      </c>
      <c r="C6" s="30" t="s">
        <v>818</v>
      </c>
      <c r="D6" s="30" t="s">
        <v>819</v>
      </c>
      <c r="E6" s="27" t="s">
        <v>816</v>
      </c>
      <c r="F6" s="27" t="s">
        <v>8</v>
      </c>
      <c r="G6" s="30" t="s">
        <v>820</v>
      </c>
    </row>
    <row r="7" spans="1:7" ht="36" customHeight="1" x14ac:dyDescent="0.3">
      <c r="A7" s="27">
        <v>3</v>
      </c>
      <c r="B7" s="30" t="s">
        <v>821</v>
      </c>
      <c r="C7" s="30" t="s">
        <v>822</v>
      </c>
      <c r="D7" s="30" t="s">
        <v>823</v>
      </c>
      <c r="E7" s="27" t="s">
        <v>816</v>
      </c>
      <c r="F7" s="27" t="s">
        <v>8</v>
      </c>
      <c r="G7" s="30" t="s">
        <v>824</v>
      </c>
    </row>
    <row r="8" spans="1:7" ht="28.5" customHeight="1" x14ac:dyDescent="0.3">
      <c r="A8" s="27">
        <v>4</v>
      </c>
      <c r="B8" s="30" t="s">
        <v>197</v>
      </c>
      <c r="C8" s="30" t="s">
        <v>825</v>
      </c>
      <c r="D8" s="30" t="s">
        <v>826</v>
      </c>
      <c r="E8" s="27" t="s">
        <v>816</v>
      </c>
      <c r="F8" s="27" t="s">
        <v>8</v>
      </c>
      <c r="G8" s="30" t="s">
        <v>827</v>
      </c>
    </row>
    <row r="9" spans="1:7" ht="28.5" customHeight="1" x14ac:dyDescent="0.3">
      <c r="A9" s="27">
        <v>5</v>
      </c>
      <c r="B9" s="30" t="s">
        <v>828</v>
      </c>
      <c r="C9" s="30" t="s">
        <v>829</v>
      </c>
      <c r="D9" s="30" t="s">
        <v>830</v>
      </c>
      <c r="E9" s="27" t="s">
        <v>816</v>
      </c>
      <c r="F9" s="27" t="s">
        <v>8</v>
      </c>
      <c r="G9" s="30" t="s">
        <v>831</v>
      </c>
    </row>
    <row r="10" spans="1:7" ht="28.5" customHeight="1" x14ac:dyDescent="0.3">
      <c r="A10" s="27">
        <v>6</v>
      </c>
      <c r="B10" s="30" t="s">
        <v>832</v>
      </c>
      <c r="C10" s="30" t="s">
        <v>833</v>
      </c>
      <c r="D10" s="30" t="s">
        <v>834</v>
      </c>
      <c r="E10" s="27" t="s">
        <v>835</v>
      </c>
      <c r="F10" s="27" t="s">
        <v>8</v>
      </c>
      <c r="G10" s="30" t="s">
        <v>836</v>
      </c>
    </row>
    <row r="11" spans="1:7" ht="28.5" customHeight="1" x14ac:dyDescent="0.3">
      <c r="A11" s="27">
        <v>7</v>
      </c>
      <c r="B11" s="30" t="s">
        <v>837</v>
      </c>
      <c r="C11" s="30" t="s">
        <v>838</v>
      </c>
      <c r="D11" s="30" t="s">
        <v>839</v>
      </c>
      <c r="E11" s="27" t="s">
        <v>840</v>
      </c>
      <c r="F11" s="27" t="s">
        <v>8</v>
      </c>
      <c r="G11" s="30" t="s">
        <v>841</v>
      </c>
    </row>
    <row r="12" spans="1:7" ht="28.5" customHeight="1" x14ac:dyDescent="0.3">
      <c r="A12" s="27">
        <v>8</v>
      </c>
      <c r="B12" s="30" t="s">
        <v>842</v>
      </c>
      <c r="C12" s="30" t="s">
        <v>843</v>
      </c>
      <c r="D12" s="30" t="s">
        <v>844</v>
      </c>
      <c r="E12" s="27" t="s">
        <v>845</v>
      </c>
      <c r="F12" s="27" t="s">
        <v>8</v>
      </c>
      <c r="G12" s="30" t="s">
        <v>846</v>
      </c>
    </row>
    <row r="13" spans="1:7" ht="28.5" customHeight="1" x14ac:dyDescent="0.3">
      <c r="A13" s="27">
        <v>9</v>
      </c>
      <c r="B13" s="30" t="s">
        <v>847</v>
      </c>
      <c r="C13" s="30" t="s">
        <v>848</v>
      </c>
      <c r="D13" s="30" t="s">
        <v>849</v>
      </c>
      <c r="E13" s="27" t="s">
        <v>845</v>
      </c>
      <c r="F13" s="27" t="s">
        <v>8</v>
      </c>
      <c r="G13" s="30" t="s">
        <v>850</v>
      </c>
    </row>
    <row r="14" spans="1:7" ht="28.5" customHeight="1" x14ac:dyDescent="0.3">
      <c r="A14" s="27">
        <v>10</v>
      </c>
      <c r="B14" s="30" t="s">
        <v>851</v>
      </c>
      <c r="C14" s="30" t="s">
        <v>852</v>
      </c>
      <c r="D14" s="30" t="s">
        <v>853</v>
      </c>
      <c r="E14" s="27" t="s">
        <v>845</v>
      </c>
      <c r="F14" s="27" t="s">
        <v>8</v>
      </c>
      <c r="G14" s="30" t="s">
        <v>263</v>
      </c>
    </row>
    <row r="15" spans="1:7" ht="28.5" customHeight="1" x14ac:dyDescent="0.3">
      <c r="A15" s="27">
        <v>11</v>
      </c>
      <c r="B15" s="30" t="s">
        <v>854</v>
      </c>
      <c r="C15" s="30" t="s">
        <v>855</v>
      </c>
      <c r="D15" s="30" t="s">
        <v>569</v>
      </c>
      <c r="E15" s="27" t="s">
        <v>840</v>
      </c>
      <c r="F15" s="27" t="s">
        <v>8</v>
      </c>
      <c r="G15" s="30" t="s">
        <v>263</v>
      </c>
    </row>
    <row r="16" spans="1:7" ht="28.5" customHeight="1" x14ac:dyDescent="0.3">
      <c r="A16" s="27">
        <v>12</v>
      </c>
      <c r="B16" s="30" t="s">
        <v>856</v>
      </c>
      <c r="C16" s="30" t="s">
        <v>857</v>
      </c>
      <c r="D16" s="30" t="s">
        <v>858</v>
      </c>
      <c r="E16" s="27" t="s">
        <v>859</v>
      </c>
      <c r="F16" s="27" t="s">
        <v>8</v>
      </c>
      <c r="G16" s="30" t="s">
        <v>860</v>
      </c>
    </row>
    <row r="17" spans="1:7" ht="28.5" customHeight="1" x14ac:dyDescent="0.3">
      <c r="A17" s="27">
        <v>13</v>
      </c>
      <c r="B17" s="30" t="s">
        <v>861</v>
      </c>
      <c r="C17" s="30" t="s">
        <v>862</v>
      </c>
      <c r="D17" s="30" t="s">
        <v>575</v>
      </c>
      <c r="E17" s="27" t="s">
        <v>840</v>
      </c>
      <c r="F17" s="27" t="s">
        <v>8</v>
      </c>
      <c r="G17" s="30" t="s">
        <v>863</v>
      </c>
    </row>
    <row r="18" spans="1:7" ht="28.5" customHeight="1" x14ac:dyDescent="0.3">
      <c r="A18" s="27">
        <v>14</v>
      </c>
      <c r="B18" s="30" t="s">
        <v>864</v>
      </c>
      <c r="C18" s="30" t="s">
        <v>865</v>
      </c>
      <c r="D18" s="30" t="s">
        <v>628</v>
      </c>
      <c r="E18" s="27" t="s">
        <v>816</v>
      </c>
      <c r="F18" s="27" t="s">
        <v>8</v>
      </c>
      <c r="G18" s="30" t="s">
        <v>866</v>
      </c>
    </row>
    <row r="19" spans="1:7" ht="36" customHeight="1" x14ac:dyDescent="0.3">
      <c r="A19" s="27">
        <v>15</v>
      </c>
      <c r="B19" s="30" t="s">
        <v>867</v>
      </c>
      <c r="C19" s="30" t="s">
        <v>868</v>
      </c>
      <c r="D19" s="30" t="s">
        <v>215</v>
      </c>
      <c r="E19" s="27" t="s">
        <v>869</v>
      </c>
      <c r="F19" s="27" t="s">
        <v>8</v>
      </c>
      <c r="G19" s="30" t="s">
        <v>870</v>
      </c>
    </row>
    <row r="20" spans="1:7" ht="36" customHeight="1" x14ac:dyDescent="0.3">
      <c r="A20" s="27">
        <v>16</v>
      </c>
      <c r="B20" s="30" t="s">
        <v>871</v>
      </c>
      <c r="C20" s="30" t="s">
        <v>872</v>
      </c>
      <c r="D20" s="30" t="s">
        <v>273</v>
      </c>
      <c r="E20" s="27" t="s">
        <v>121</v>
      </c>
      <c r="F20" s="27" t="s">
        <v>8</v>
      </c>
      <c r="G20" s="30" t="s">
        <v>873</v>
      </c>
    </row>
    <row r="21" spans="1:7" x14ac:dyDescent="0.3">
      <c r="A21" s="35"/>
      <c r="B21" s="35"/>
      <c r="C21" s="35"/>
      <c r="D21" s="35"/>
      <c r="E21" s="35"/>
      <c r="F21" s="35"/>
      <c r="G21" s="35"/>
    </row>
    <row r="22" spans="1:7" x14ac:dyDescent="0.3">
      <c r="A22" s="35"/>
      <c r="B22" s="35"/>
      <c r="C22" s="35"/>
      <c r="D22" s="35"/>
      <c r="E22" s="35"/>
      <c r="F22" s="35"/>
      <c r="G22" s="35"/>
    </row>
    <row r="23" spans="1:7" x14ac:dyDescent="0.3">
      <c r="A23" s="35"/>
      <c r="B23" s="35"/>
      <c r="C23" s="35"/>
      <c r="D23" s="35"/>
      <c r="E23" s="35"/>
      <c r="F23" s="35"/>
      <c r="G23" s="35"/>
    </row>
    <row r="24" spans="1:7" x14ac:dyDescent="0.3">
      <c r="A24" s="35"/>
      <c r="B24" s="35"/>
      <c r="C24" s="35"/>
      <c r="D24" s="35"/>
      <c r="E24" s="35"/>
      <c r="F24" s="35"/>
      <c r="G24" s="35"/>
    </row>
    <row r="25" spans="1:7" x14ac:dyDescent="0.3">
      <c r="A25" s="35"/>
      <c r="B25" s="35"/>
      <c r="C25" s="35"/>
      <c r="D25" s="35"/>
      <c r="E25" s="35"/>
      <c r="F25" s="35"/>
      <c r="G25" s="35"/>
    </row>
    <row r="26" spans="1:7" x14ac:dyDescent="0.3">
      <c r="A26" s="35"/>
      <c r="B26" s="35"/>
      <c r="C26" s="35"/>
      <c r="D26" s="35"/>
      <c r="E26" s="35"/>
      <c r="F26" s="35"/>
      <c r="G26" s="35"/>
    </row>
    <row r="27" spans="1:7" x14ac:dyDescent="0.3">
      <c r="A27" s="35"/>
      <c r="B27" s="35"/>
      <c r="C27" s="35"/>
      <c r="D27" s="35"/>
      <c r="E27" s="35"/>
      <c r="F27" s="35"/>
      <c r="G27" s="35"/>
    </row>
    <row r="28" spans="1:7" x14ac:dyDescent="0.3">
      <c r="A28" s="35"/>
      <c r="B28" s="35"/>
      <c r="C28" s="35"/>
      <c r="D28" s="35"/>
      <c r="E28" s="35"/>
      <c r="F28" s="35"/>
      <c r="G28" s="35"/>
    </row>
    <row r="29" spans="1:7" x14ac:dyDescent="0.3">
      <c r="A29" s="35"/>
      <c r="B29" s="35"/>
      <c r="C29" s="35"/>
      <c r="D29" s="35"/>
      <c r="E29" s="35"/>
      <c r="F29" s="35"/>
      <c r="G29" s="35"/>
    </row>
  </sheetData>
  <mergeCells count="2">
    <mergeCell ref="A2:G2"/>
    <mergeCell ref="A1:G1"/>
  </mergeCells>
  <dataValidations count="2">
    <dataValidation type="list" sqref="F5:F19" xr:uid="{00000000-0002-0000-0900-000000000000}">
      <formula1>"Not Run,Ready,Pending,N/A"</formula1>
    </dataValidation>
    <dataValidation type="list" allowBlank="1" sqref="F5 F6 F7 F8 F9 F10 F11 F12 F13 F14 F15 F16 F17 F18 F19 F20" xr:uid="{00000000-0002-0000-0900-000001000000}">
      <formula1>"Not Run,Ready,Pending,N/A"</formula1>
    </dataValidation>
  </dataValidation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Ringkasan</vt:lpstr>
      <vt:lpstr>Panduan</vt:lpstr>
      <vt:lpstr>Dropdown</vt:lpstr>
      <vt:lpstr>Referensi</vt:lpstr>
      <vt:lpstr>UAT_ADMIN</vt:lpstr>
      <vt:lpstr>UAT_MANAGER</vt:lpstr>
      <vt:lpstr>UAT_AGENT</vt:lpstr>
      <vt:lpstr>UAT_USER</vt:lpstr>
      <vt:lpstr>01_Urutan_UAT</vt:lpstr>
      <vt:lpstr>02_Data_Siap_UAT</vt:lpstr>
      <vt:lpstr>'01_Urutan_UAT'!Print_Titles</vt:lpstr>
      <vt:lpstr>UAT_ADMIN!Print_Titles</vt:lpstr>
      <vt:lpstr>UAT_AGENT!Print_Titles</vt:lpstr>
      <vt:lpstr>UAT_MANAGER!Print_Titles</vt:lpstr>
      <vt:lpstr>UAT_USER!Print_Titles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IT18</cp:lastModifiedBy>
  <dcterms:created xsi:type="dcterms:W3CDTF">2026-08-19T03:51:17Z</dcterms:created>
  <dcterms:modified xsi:type="dcterms:W3CDTF">2026-08-19T05:51:05Z</dcterms:modified>
</cp:coreProperties>
</file>